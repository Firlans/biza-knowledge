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piritia 2024\Downloads\"/>
    </mc:Choice>
  </mc:AlternateContent>
  <xr:revisionPtr revIDLastSave="0" documentId="8_{F50DCA49-6232-4347-B94F-F320C6F93AE0}" xr6:coauthVersionLast="47" xr6:coauthVersionMax="47" xr10:uidLastSave="{00000000-0000-0000-0000-000000000000}"/>
  <bookViews>
    <workbookView xWindow="-110" yWindow="-110" windowWidth="19420" windowHeight="10300" xr2:uid="{5F2B0A04-C2B0-4FDB-92C5-2F7053CA2BFF}"/>
  </bookViews>
  <sheets>
    <sheet name="Laporan Analisa Varians 0101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1" i="1" l="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0" i="1"/>
  <c r="AH189"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0" i="1"/>
</calcChain>
</file>

<file path=xl/sharedStrings.xml><?xml version="1.0" encoding="utf-8"?>
<sst xmlns="http://schemas.openxmlformats.org/spreadsheetml/2006/main" count="1113" uniqueCount="451">
  <si>
    <t>Laporan Analisa Varians IE (USD)</t>
  </si>
  <si>
    <t>Nama Organisasi Spiritia</t>
  </si>
  <si>
    <t>Periode Dari '01/01/2026' and '18/03/2026'</t>
  </si>
  <si>
    <t>BL</t>
  </si>
  <si>
    <t>Kode Proyek</t>
  </si>
  <si>
    <t>Module</t>
  </si>
  <si>
    <t>Intervensi</t>
  </si>
  <si>
    <t>Cost Input</t>
  </si>
  <si>
    <t>Activity Description</t>
  </si>
  <si>
    <t>Entity Unit Implementer</t>
  </si>
  <si>
    <t>Budget</t>
  </si>
  <si>
    <t>SPIRITIA</t>
  </si>
  <si>
    <t>Jaringan Indonesia Positif</t>
  </si>
  <si>
    <t>SR YPK ELSA</t>
  </si>
  <si>
    <t>SR PKBI JABAR</t>
  </si>
  <si>
    <t>SR YPI</t>
  </si>
  <si>
    <t>IU Medan Plus</t>
  </si>
  <si>
    <t>IU Sebaya Lancang Kuning</t>
  </si>
  <si>
    <t>IU Kompak</t>
  </si>
  <si>
    <t>IU Kanti Sehati Sejati</t>
  </si>
  <si>
    <t>IU Sriwijaya Plus</t>
  </si>
  <si>
    <t>IU Cita Andaru Bersama</t>
  </si>
  <si>
    <t>IU Yayasan Pelita Ilmu</t>
  </si>
  <si>
    <t>IU Female Plus</t>
  </si>
  <si>
    <t>IU Peka</t>
  </si>
  <si>
    <t>IU Victory Plus</t>
  </si>
  <si>
    <t>IU Mahameru</t>
  </si>
  <si>
    <t>IU Spirit Paramacitta</t>
  </si>
  <si>
    <t>IU Inset</t>
  </si>
  <si>
    <t>IU Flobamora</t>
  </si>
  <si>
    <t>IU Pontianak Plus</t>
  </si>
  <si>
    <t>IU Mahakam Plus</t>
  </si>
  <si>
    <t>IU Batamang Plus</t>
  </si>
  <si>
    <t>IU YPKDS</t>
  </si>
  <si>
    <t>IU Sorong Sehati</t>
  </si>
  <si>
    <t>IU Yayasan Cendrawasih Bersatu</t>
  </si>
  <si>
    <t>101.01.BL-001</t>
  </si>
  <si>
    <t>Program management</t>
  </si>
  <si>
    <t>Grant management</t>
  </si>
  <si>
    <t>1.1 Salaries - program management</t>
  </si>
  <si>
    <t>Salaries - PR</t>
  </si>
  <si>
    <t>Yayasan Spiritia</t>
  </si>
  <si>
    <t>101.02.BL-002</t>
  </si>
  <si>
    <t>Health Insurance PR</t>
  </si>
  <si>
    <t>101.03.BL-003</t>
  </si>
  <si>
    <t>Insurance - BPJS Ketenagakerjaan PR</t>
  </si>
  <si>
    <t>101.04.BL-004</t>
  </si>
  <si>
    <t>Religious Festival allowance - PR</t>
  </si>
  <si>
    <t>101.05.BL-005</t>
  </si>
  <si>
    <t>Salaries - SR</t>
  </si>
  <si>
    <t>SR region</t>
  </si>
  <si>
    <t>101.06.BL-006</t>
  </si>
  <si>
    <t>Health Insurance SR</t>
  </si>
  <si>
    <t>101.07.BL-007</t>
  </si>
  <si>
    <t>Insurance - BPJS Ketenagakerjaan SR</t>
  </si>
  <si>
    <t>101.08.BL-008</t>
  </si>
  <si>
    <t>Religious Festival allowance - SR</t>
  </si>
  <si>
    <t>101.09.BL-009</t>
  </si>
  <si>
    <t>Salaries - SSR Outreach</t>
  </si>
  <si>
    <t>101.10.BL-010</t>
  </si>
  <si>
    <t>Health Insurance SSR Outreach</t>
  </si>
  <si>
    <t>101.11.BL-011</t>
  </si>
  <si>
    <t>Insurance - BPJS Ketenagakerjaan SSR Outreach</t>
  </si>
  <si>
    <t>101.12.BL-012</t>
  </si>
  <si>
    <t>Religious Festival allowance - SSR Outreach</t>
  </si>
  <si>
    <t>101.13.BL-013</t>
  </si>
  <si>
    <t>Salaries - IU PLHIV</t>
  </si>
  <si>
    <t>CCO</t>
  </si>
  <si>
    <t>101.14.BL-014</t>
  </si>
  <si>
    <t>Health Insurance IU PLHIV</t>
  </si>
  <si>
    <t>101.15.BL-015</t>
  </si>
  <si>
    <t>Insurance - BPJS Ketenagakerjaan IU PLHIV</t>
  </si>
  <si>
    <t>101.16.BL-016</t>
  </si>
  <si>
    <t>Religious Festival allowance - IU PLHIV</t>
  </si>
  <si>
    <t>101.17.BL-017</t>
  </si>
  <si>
    <t>11.1 Office related costs</t>
  </si>
  <si>
    <t>Office Rent - PR</t>
  </si>
  <si>
    <t>101.18.BL-018</t>
  </si>
  <si>
    <t>Office Operational Cost - PR</t>
  </si>
  <si>
    <t>101.19.BL-019</t>
  </si>
  <si>
    <t>Rent Office and ORC SRs</t>
  </si>
  <si>
    <t>101.20.BL-020</t>
  </si>
  <si>
    <t>Rent Office and ORC SSR Type A, SSR Type B and SSR Type C</t>
  </si>
  <si>
    <t>SSR</t>
  </si>
  <si>
    <t>101.21.BL-021</t>
  </si>
  <si>
    <t>Rent Office and ORC IU Type A, IU Type B and IU Type C</t>
  </si>
  <si>
    <t>101.22.BL-022</t>
  </si>
  <si>
    <t>9.1 IT - computers, computer equipment, Software and applica</t>
  </si>
  <si>
    <t>Assets Procurement - Laptop PR - SR</t>
  </si>
  <si>
    <t>101.23.BL-023</t>
  </si>
  <si>
    <t>3.3 External audit fees</t>
  </si>
  <si>
    <t>Annual Audit by Independent Auditor</t>
  </si>
  <si>
    <t>101.24.BL-024</t>
  </si>
  <si>
    <t>3.4 Other external professional services</t>
  </si>
  <si>
    <t>Financial software improvement, development, and maintenance</t>
  </si>
  <si>
    <t>101.25.BL-025</t>
  </si>
  <si>
    <t>Warehouse Rent - PR</t>
  </si>
  <si>
    <t>101.26.BL-026</t>
  </si>
  <si>
    <t>8.1 Furniture</t>
  </si>
  <si>
    <t>Furniture &amp; fixtures</t>
  </si>
  <si>
    <t>101.27.BL-027</t>
  </si>
  <si>
    <t>9.4 Maintenance and service costs non-health equipment</t>
  </si>
  <si>
    <t>Information System Hardware Procurement</t>
  </si>
  <si>
    <t>101.28.BL-028</t>
  </si>
  <si>
    <t>9.2 Vehicles</t>
  </si>
  <si>
    <t>Assets Procurement</t>
  </si>
  <si>
    <t>101.29.BL-029</t>
  </si>
  <si>
    <t>2.3 Supervision related per diems/transport/other costs</t>
  </si>
  <si>
    <t>Supervisory visit by PR to SRs, SSRs, IUs and other partners</t>
  </si>
  <si>
    <t>101.30.BL-030</t>
  </si>
  <si>
    <t>2.4 Meeting/Advocacy related per diems/transport/other costs</t>
  </si>
  <si>
    <t>Capacity Building Training to Strengthen in Program Implementation at National Level</t>
  </si>
  <si>
    <t>201.01.BL-031</t>
  </si>
  <si>
    <t>Treatment, Care and Support</t>
  </si>
  <si>
    <t>HIV treatment and differentiated service delivery - adults</t>
  </si>
  <si>
    <t>Coaching and mentoring specifically tehnical assistance to the selected partner organization (SRs, IUs and SSRs) for programatic, ME, financial and especially programatic also others in improving the partner organization capacity to deliver</t>
  </si>
  <si>
    <t>102.01.BL-032</t>
  </si>
  <si>
    <t>Coordination and management of national disease control prog</t>
  </si>
  <si>
    <t>2.1 Training related per diems/transport/other costs</t>
  </si>
  <si>
    <t>Engagement in International Community or High Level meeting/training/conferences related HIV, TB and other related health and key populations</t>
  </si>
  <si>
    <t>102.02.BL-033</t>
  </si>
  <si>
    <t>Engagement in National Community or High Level meeting/training/conferences related HIV, TB and other related health and key populations</t>
  </si>
  <si>
    <t>301.01.BL-034</t>
  </si>
  <si>
    <t>Prevention Package for Men Who Have Sex with Men (MSM) and t</t>
  </si>
  <si>
    <t>HIV prevention communication, information and demand creatio</t>
  </si>
  <si>
    <t>10.2 Television/Radio spots and programmes</t>
  </si>
  <si>
    <t>Client-centered Outreach: Mobile data cost for Outreach Worker MSM to perform virtual contact</t>
  </si>
  <si>
    <t>302.01.BL-035</t>
  </si>
  <si>
    <t>Community empowerment for MSM</t>
  </si>
  <si>
    <t>Client-centered outreach: Community mentoring to strengthen outreach quality for MSM-TG-PWID</t>
  </si>
  <si>
    <t>302.02.BL-036</t>
  </si>
  <si>
    <t>Capacity Building Training to Strengthen in Program Implementation at SSR Level</t>
  </si>
  <si>
    <t>401.01.BL-037</t>
  </si>
  <si>
    <t>Prevention Package for Transgender People and their Sexual P</t>
  </si>
  <si>
    <t>Community mobilization: peer educator meeting for TG Community to improve BCC at Complete and Medium Districts (peer educator, outlet condom, key person for young and adult TG)</t>
  </si>
  <si>
    <t>402.01.BL-038</t>
  </si>
  <si>
    <t>Community empowerment for transgender people</t>
  </si>
  <si>
    <t>Client-centered outreach: Mentoring, coaching and supportive supervision for client-centered outreach implementation at district level</t>
  </si>
  <si>
    <t>601.01.BL-039</t>
  </si>
  <si>
    <t>Differentiated HIV Testing Services</t>
  </si>
  <si>
    <t>Community-based testing for KP programs</t>
  </si>
  <si>
    <t>Accelerating Achievement of Program Implementation at SRs and SSRs</t>
  </si>
  <si>
    <t>601.02.BL-040</t>
  </si>
  <si>
    <t>Supervisory Visit by 3 SRs to 48 SSRs</t>
  </si>
  <si>
    <t>301.02.BL-041</t>
  </si>
  <si>
    <t>1.6 Salaries - community-based, incl. Community Health Worke</t>
  </si>
  <si>
    <t>Client-centered Outerach: Salary Outreach Worker Coordinator</t>
  </si>
  <si>
    <t>301.03.BL-042</t>
  </si>
  <si>
    <t>Client-centered Outreach: Social Security Outreach Worker Coordinator (Health)</t>
  </si>
  <si>
    <t>301.04.BL-043</t>
  </si>
  <si>
    <t>Client-centered Outreach: Social Security Outreach Worker Coordinator (Employment)</t>
  </si>
  <si>
    <t>301.05.BL-044</t>
  </si>
  <si>
    <t>Client-centered Outreach: Religious Festival Allowance Ooutreach Worker Coordinator</t>
  </si>
  <si>
    <t>301.06.BL-045</t>
  </si>
  <si>
    <t>Client-centered Outreach: Salary Outreach Worker MSM</t>
  </si>
  <si>
    <t>301.07.BL-046</t>
  </si>
  <si>
    <t>Client-centered Outreach: Social Security Outreach Worker MSM (Health)</t>
  </si>
  <si>
    <t>301.08.BL-047</t>
  </si>
  <si>
    <t>Client-centered Outreach: Social Security Outreach Worker MSM (Employment)</t>
  </si>
  <si>
    <t>301.09.BL-048</t>
  </si>
  <si>
    <t>Client-centered Outreach: Religious Festival Allowance Outreach Worker MSM</t>
  </si>
  <si>
    <t>301.10.BL-049</t>
  </si>
  <si>
    <t>Community mobilization: peer educator meeting for MSM Community to improve BCC at Complete Districts (peer educator, outlet condom, key person for young and adult MSM)</t>
  </si>
  <si>
    <t>401.02.BL-050</t>
  </si>
  <si>
    <t>Client-centered Outreach: Salary Outreach Worker TG</t>
  </si>
  <si>
    <t>401.03.BL-051</t>
  </si>
  <si>
    <t>Client-centered Outreach: Social Security Outreach Worker TG (Health)</t>
  </si>
  <si>
    <t>401.04.BL-052</t>
  </si>
  <si>
    <t>Client-centered Outreach: Social Security Outreach Worker TG (Employment)</t>
  </si>
  <si>
    <t>401.05.BL-053</t>
  </si>
  <si>
    <t>Client-centered Outreach: Religious Festival Allowance Outreach Worker TG</t>
  </si>
  <si>
    <t>601.03.BL-054</t>
  </si>
  <si>
    <t>TG Mobile clinics for HIV testing and STI service at district</t>
  </si>
  <si>
    <t>301.11.BL-055</t>
  </si>
  <si>
    <t>Community mobilization: peer educator meeting for MSM Community to improve BCC at Medium Districts (peer educator, outlet condom, key person for young and adult MSM)</t>
  </si>
  <si>
    <t>601.04.BL-056</t>
  </si>
  <si>
    <t>MSM Mobile clinics for HIV testing and STI service at district</t>
  </si>
  <si>
    <t>302.03.BL-057</t>
  </si>
  <si>
    <t>13.5 Incentives -community-based, incl. Community Health Wor</t>
  </si>
  <si>
    <t>Client-centered Outreach: Transportation incentives for Outreach Worker MSM</t>
  </si>
  <si>
    <t>402.02.BL-058</t>
  </si>
  <si>
    <t>Client-centered Outreach: Transportation incentives for Outreach Worker TG</t>
  </si>
  <si>
    <t>304.01.BL-059</t>
  </si>
  <si>
    <t>Removing human rights-related barriers to prevention for MSM</t>
  </si>
  <si>
    <t>Training for OWC to improve knowldege and skill of human right, SOGIESC, gender approach</t>
  </si>
  <si>
    <t>301.12.BL-060</t>
  </si>
  <si>
    <t>2.5 Other Transportation costs</t>
  </si>
  <si>
    <t>Hot Spots Visit &amp; Data Verification by Outreach Worker Coordinator</t>
  </si>
  <si>
    <t>602.01.BL-061</t>
  </si>
  <si>
    <t>Facility-based testing for key population (KP) programs</t>
  </si>
  <si>
    <t>Cases Conference among SR/SSR at districts Level</t>
  </si>
  <si>
    <t>402.03.BL-062</t>
  </si>
  <si>
    <t>Capacity Building Training to Strengthen in Program Implementation at SR Level</t>
  </si>
  <si>
    <t>601.05.BL-063</t>
  </si>
  <si>
    <t>Peer Mobilizations: Transportation for PE TG</t>
  </si>
  <si>
    <t>301.13.BL-064</t>
  </si>
  <si>
    <t>Public Campaign: Edutainment to build awareness and Promoting HIV/STI Prevention (MSM-TG Community in Complete districts selected)</t>
  </si>
  <si>
    <t>301.14.BL-065</t>
  </si>
  <si>
    <t>Public Campaign: National campaign to raise awareness about HIV risk, testing, and treatment and the stigma PLHIV face</t>
  </si>
  <si>
    <t>601.06.BL-066</t>
  </si>
  <si>
    <t>Peer Mobilizations: Transportation for PE MSM</t>
  </si>
  <si>
    <t>304.01.BL-067</t>
  </si>
  <si>
    <t>HIV-related stakeholders meeting at district level</t>
  </si>
  <si>
    <t>601.07.BL-068</t>
  </si>
  <si>
    <t>HCT Proactive Approach to find Hard To Reach KAPs (Pick up Client Services) at MSM-TG Complete district</t>
  </si>
  <si>
    <t>601.08.BL-069</t>
  </si>
  <si>
    <t>HCT Proactive Approach to find Hard To Reach KAPs (Pick up Client Services)at MSM-TG Medium and basic district</t>
  </si>
  <si>
    <t>403.01.BL-070</t>
  </si>
  <si>
    <t>Sexual and reproductive health services, including STIs, hep</t>
  </si>
  <si>
    <t>Operational cost for outreach worker coordinator</t>
  </si>
  <si>
    <t>402.04.BL-071</t>
  </si>
  <si>
    <t>Capacity Building for Peer Educator</t>
  </si>
  <si>
    <t>401.06.BL-072</t>
  </si>
  <si>
    <t>3.1 Technical Assistance Fees/Consultants</t>
  </si>
  <si>
    <t>Digital Campaign to Improve LTFU, Partner Notification &amp; Early Treatment; Team Recruitment</t>
  </si>
  <si>
    <t>303.01.BL-073</t>
  </si>
  <si>
    <t>Pre-exposure prophylaxis (PrEP) programing for MSM</t>
  </si>
  <si>
    <t>Continous district training on PrEP</t>
  </si>
  <si>
    <t>303.02.BL-074</t>
  </si>
  <si>
    <t>Mentoring and coaching by master trainer on PrEP implementation</t>
  </si>
  <si>
    <t>401.07.BL-075</t>
  </si>
  <si>
    <t>Mapping risk trans men</t>
  </si>
  <si>
    <t>401.08.BL-076</t>
  </si>
  <si>
    <t>Piloting transmen intervention</t>
  </si>
  <si>
    <t>501.01.BL-077</t>
  </si>
  <si>
    <t>Prevention package for people who use drugs (PUD) and their</t>
  </si>
  <si>
    <t>Opioid substitution therapy and other medically assisted dru</t>
  </si>
  <si>
    <t>Socialize policies regarding OST and ensure coordination between HIV, drugs, and mental health sub directorates to support provision of OST.</t>
  </si>
  <si>
    <t>502.01.BL-078</t>
  </si>
  <si>
    <t>Community empowerment for PUD</t>
  </si>
  <si>
    <t>Serial of thematic support group meetings for PUD and partners to discuss urgent issues, including mental health.</t>
  </si>
  <si>
    <t>503.01.BL-079</t>
  </si>
  <si>
    <t>Removing human rights-related barriers to prevention for PUD</t>
  </si>
  <si>
    <t>CST Sensitization Training for health service providers, social rehabilitation centre, support group and NGO at National Level</t>
  </si>
  <si>
    <t>504.01.BL-080</t>
  </si>
  <si>
    <t>Mobile testing for PWID and Partner</t>
  </si>
  <si>
    <t>501.02.BL-081</t>
  </si>
  <si>
    <t>Support group meeting for OST client</t>
  </si>
  <si>
    <t>503.02.BL-082</t>
  </si>
  <si>
    <t>PWID Communitis and Stakeholder Meeting at Provincial Level to Strengthen Harm Reduction Implementation Program</t>
  </si>
  <si>
    <t>501.03.BL-083</t>
  </si>
  <si>
    <t>Consultant fee for thematic issue program at national level</t>
  </si>
  <si>
    <t>501.04.BL-084</t>
  </si>
  <si>
    <t>Thematic meeting stakeholder at national level</t>
  </si>
  <si>
    <t>502.02.BL-085</t>
  </si>
  <si>
    <t>TA Programmatic Review for PWID and Partners and Young PWID Outreach Approach: Consultant Fee</t>
  </si>
  <si>
    <t>502.03.BL-086</t>
  </si>
  <si>
    <t>TA Programmatic Review for PWID Outreach Approach: Field Visit</t>
  </si>
  <si>
    <t>505.01.BL-087</t>
  </si>
  <si>
    <t>Needle and syringe programs for PWID</t>
  </si>
  <si>
    <t>5.0 Health Products - Non-Pharmaceuticals (HPNP)</t>
  </si>
  <si>
    <t>Collecting used syringes</t>
  </si>
  <si>
    <t>502.04.BL-088</t>
  </si>
  <si>
    <t>Client-centered Outreach: Incentives for Outreach Worker PWID</t>
  </si>
  <si>
    <t>601.09.BL-089</t>
  </si>
  <si>
    <t>Transportation for PE PWID</t>
  </si>
  <si>
    <t>504.02.BL-090</t>
  </si>
  <si>
    <t>Salary for Outreach Worker PWID</t>
  </si>
  <si>
    <t>504.03.BL-091</t>
  </si>
  <si>
    <t>Health Insurance for Outreach Worker PWID</t>
  </si>
  <si>
    <t>504.04.BL-092</t>
  </si>
  <si>
    <t>Social security for Outreach Worker PWID</t>
  </si>
  <si>
    <t>504.05.BL-093</t>
  </si>
  <si>
    <t>Religious Festival Allowance for Outreach Worker PWID</t>
  </si>
  <si>
    <t>502.05.BL-094</t>
  </si>
  <si>
    <t>Develop model of naloxone and other overdose management substances provision and distribution in priority areas specific to drug use</t>
  </si>
  <si>
    <t>502.06.BL-095</t>
  </si>
  <si>
    <t>Community-led thematic workshops and discussions with relevant stakeholders in different districts to enhance quality and quantity of mental health care for PUD.</t>
  </si>
  <si>
    <t>201.02.BL-096</t>
  </si>
  <si>
    <t>Mobile data cost for Peer Support</t>
  </si>
  <si>
    <t>201.03.BL-097</t>
  </si>
  <si>
    <t>Performance Based ART Initiation (NP)</t>
  </si>
  <si>
    <t>201.04.BL-098</t>
  </si>
  <si>
    <t>Performance Based HCT (NP)</t>
  </si>
  <si>
    <t>201.05.BL-099</t>
  </si>
  <si>
    <t>Performance Based HCT Positif (NP)</t>
  </si>
  <si>
    <t>201.06.BL-100</t>
  </si>
  <si>
    <t>Workshop Planning Meeting Partner Notification at Province Level</t>
  </si>
  <si>
    <t>201.07.BL-101</t>
  </si>
  <si>
    <t>Training Peer Suport Program and Coordinators for Partner Notification related GBV</t>
  </si>
  <si>
    <t>201.08.BL-102</t>
  </si>
  <si>
    <t>Coordination and Evaluation Meeting for Cascade Partner Notification</t>
  </si>
  <si>
    <t>201.09.BL-103</t>
  </si>
  <si>
    <t>2.2 Technical assistance-related per diems/transport/other c</t>
  </si>
  <si>
    <t>Mentoring, coaching and cross learning for Partner Notification Approach in district level</t>
  </si>
  <si>
    <t>201.10.BL-104</t>
  </si>
  <si>
    <t>Closed Meeting for PLHIV and Partner (Partner Notification)</t>
  </si>
  <si>
    <t>601.10.BL-105</t>
  </si>
  <si>
    <t>Workshop Planning Meeting Partner Notification at National Level</t>
  </si>
  <si>
    <t>201.11.BL-106</t>
  </si>
  <si>
    <t>Peer Support Coordinator Training in improving manajerial leadership and programmatic</t>
  </si>
  <si>
    <t>201.12.BL-107</t>
  </si>
  <si>
    <t>Capacity Building Training to Strengthen in Program Implementation at IU Level</t>
  </si>
  <si>
    <t>201.13.BL-108</t>
  </si>
  <si>
    <t>Annualy evaluation meeting each IUs and Peer Support at Provincial Level</t>
  </si>
  <si>
    <t>201.14.BL-109</t>
  </si>
  <si>
    <t>Supervisory Visits by Implementing Unit to Peer Support at Priority Districts</t>
  </si>
  <si>
    <t>201.15.BL-110</t>
  </si>
  <si>
    <t>Provincial PLHIV Meeting Community (beneficiaries) at provincial level</t>
  </si>
  <si>
    <t>201.16.BL-111</t>
  </si>
  <si>
    <t>Short Training/Workshop for PLHIV to Enhance Retention on ART and Not yet ART</t>
  </si>
  <si>
    <t>201.17.BL-112</t>
  </si>
  <si>
    <t>Monthly Cascade Meeting between peer support with ART support</t>
  </si>
  <si>
    <t>201.18.BL-113</t>
  </si>
  <si>
    <t>Transportation for Peer Support and Peer Support Group (ART initiation, LTFU, NP)</t>
  </si>
  <si>
    <t>201.19.BL-114</t>
  </si>
  <si>
    <t>Transportation for Early Treatment and LTFU for Health Officer</t>
  </si>
  <si>
    <t>201.20.BL-115</t>
  </si>
  <si>
    <t>Salary of peer support for home &amp; hospital visit and adherence and family psycosocial support</t>
  </si>
  <si>
    <t>201.21.BL-116</t>
  </si>
  <si>
    <t>Social Security Peer Support (Health)</t>
  </si>
  <si>
    <t>201.22.BL-117</t>
  </si>
  <si>
    <t>Social Security Peer Support (Employment)</t>
  </si>
  <si>
    <t>201.23.BL-118</t>
  </si>
  <si>
    <t>Religious Festival Allowance Peer Support</t>
  </si>
  <si>
    <t>201.24.BL-119</t>
  </si>
  <si>
    <t>Salary of Peer Support Coordinator</t>
  </si>
  <si>
    <t>201.25.BL-120</t>
  </si>
  <si>
    <t>Social Security Peer Support Coordinator (Health)</t>
  </si>
  <si>
    <t>201.26.BL-121</t>
  </si>
  <si>
    <t>Social Security Peer Support Coordinator (Employment)</t>
  </si>
  <si>
    <t>201.27.BL-122</t>
  </si>
  <si>
    <t>Religious Festival Allowance Peer Support Coordinator</t>
  </si>
  <si>
    <t>201.28.BL-123</t>
  </si>
  <si>
    <t>Transport of Peer Support Coordinator</t>
  </si>
  <si>
    <t>202.01.BL-124</t>
  </si>
  <si>
    <t>HIV treatment and differentiated service delivery - children</t>
  </si>
  <si>
    <t>Treatment Literacy Training for Youth with HIV</t>
  </si>
  <si>
    <t>202.02.BL-125</t>
  </si>
  <si>
    <t>Child with HIV/ Parents / Caregivers Meeting</t>
  </si>
  <si>
    <t>201.29.BL-126</t>
  </si>
  <si>
    <t>10.3 Promotional Material (t-shirts, mugs, pins...) and othe</t>
  </si>
  <si>
    <t>Digital Campaign to Improve LTFU, Partner Notification &amp; Early Treatment; Consultant for IEC Materials Production</t>
  </si>
  <si>
    <t>402.05.BL-127</t>
  </si>
  <si>
    <t>Training Outreach Worker Coordinator for TG Community Member at National Level</t>
  </si>
  <si>
    <t>402.06.BL-128</t>
  </si>
  <si>
    <t>Workshop coordination Midterm Semester meeting between PR and SR</t>
  </si>
  <si>
    <t>303.03.BL-129</t>
  </si>
  <si>
    <t>Pre-Exposure Prophylaxis (scale up district Asessment and launching at district)</t>
  </si>
  <si>
    <t>305.01.BL-130</t>
  </si>
  <si>
    <t>Condom and lubricant programing for MSM</t>
  </si>
  <si>
    <t>7.4 In-country distribution costs</t>
  </si>
  <si>
    <t>Condom and Lubricant Distribution for all KPs</t>
  </si>
  <si>
    <t>301.15.BL-131</t>
  </si>
  <si>
    <t>10.1 Printed materials (forms, books, guidelines, brochure,</t>
  </si>
  <si>
    <t>IEC materials of HIV testing,treatment, and support information: Production cost (design and printing)</t>
  </si>
  <si>
    <t>301.16.BL-132</t>
  </si>
  <si>
    <t>IEC materials of HIV testing,treatment, and support information: Distribution cost</t>
  </si>
  <si>
    <t>603.01.BL-133</t>
  </si>
  <si>
    <t>Self-testing for KP programs</t>
  </si>
  <si>
    <t>HIV Self Screening Implementation Support</t>
  </si>
  <si>
    <t>402.07.BL-134</t>
  </si>
  <si>
    <t>Support for Spiritia Information Management System (SIMS)</t>
  </si>
  <si>
    <t>402.08.BL-135</t>
  </si>
  <si>
    <t>Data Development Training for M&amp;E Officer</t>
  </si>
  <si>
    <t>302.04.BL-136</t>
  </si>
  <si>
    <t>National Coordination &amp; Evaluation Workshop for PR-SR-SSR-IU</t>
  </si>
  <si>
    <t>301.17.BL-137</t>
  </si>
  <si>
    <t>Workshop: Planning Meeting to Discuss Strategic Outreach Plan, Workplan and Budget for all KPs</t>
  </si>
  <si>
    <t>303.04.BL-138</t>
  </si>
  <si>
    <t>PreP implementation evaluation for all KPs</t>
  </si>
  <si>
    <t>201.30.BL-139</t>
  </si>
  <si>
    <t>Office Running Cost to Support Peer Support Groups &amp; Peer Support Coordinator</t>
  </si>
  <si>
    <t>302.05.BL-140</t>
  </si>
  <si>
    <t>MSM Drop In Centre (DIP)</t>
  </si>
  <si>
    <t>201.31.BL-141</t>
  </si>
  <si>
    <t>Technical assistance to up take ART focusly ART innitiation and refer back LFU to peer supporters, peer support groups, implementing units, and health care providers</t>
  </si>
  <si>
    <t>402.09.BL-142</t>
  </si>
  <si>
    <t>Community Liaison to coordinate and intergrate HIV and Human Rights Response</t>
  </si>
  <si>
    <t>402.10.BL-143</t>
  </si>
  <si>
    <t>Liaison Officer Transport for Human Rights Cases Verification</t>
  </si>
  <si>
    <t>101.31.BL-144</t>
  </si>
  <si>
    <t>Annual Audit by Independent Auditor - Obligation</t>
  </si>
  <si>
    <t>402.11.BL-145</t>
  </si>
  <si>
    <t>Partner Notification Coordinator</t>
  </si>
  <si>
    <t>402.12.BL-146</t>
  </si>
  <si>
    <t>Community Liaison to coordinate and intergrate HIV and Human Rights Response at SR level</t>
  </si>
  <si>
    <t>402.13.BL-147</t>
  </si>
  <si>
    <t>Community Liaison to coordinate and intergrate HIV and Human Rights Response at IU level</t>
  </si>
  <si>
    <t>402.14.BL-148</t>
  </si>
  <si>
    <t>Community Liaison to coordinate and intergrate HIV and Human Rights Response at SSR level</t>
  </si>
  <si>
    <t>301.18.BL-149</t>
  </si>
  <si>
    <t>Piloting virtual program intervention</t>
  </si>
  <si>
    <t>101.32.BL-150</t>
  </si>
  <si>
    <t>Furniture &amp; fixtures at PR level</t>
  </si>
  <si>
    <t>101.33.BL-151</t>
  </si>
  <si>
    <t>Furniture &amp; fixtures at SR level</t>
  </si>
  <si>
    <t>101.34.BL-152</t>
  </si>
  <si>
    <t>Furniture &amp; fixtures at IU level</t>
  </si>
  <si>
    <t>101.35.BL-153</t>
  </si>
  <si>
    <t>Furniture &amp; fixtures at SSR level</t>
  </si>
  <si>
    <t>201.32.BL-154</t>
  </si>
  <si>
    <t>Coordination and data verification for referal system between OW-PS</t>
  </si>
  <si>
    <t>201.33.BL-155</t>
  </si>
  <si>
    <t>Performance based: PrEP Initiation for Outreach Worker</t>
  </si>
  <si>
    <t>201.34.BL-156</t>
  </si>
  <si>
    <t>Performance based: PrEP Initiation for Peer Support</t>
  </si>
  <si>
    <t>201.35.BL-157</t>
  </si>
  <si>
    <t>PLHIV National Meeting; Moving Toward Test and Treat Policy in Indonesia</t>
  </si>
  <si>
    <t>201.36.BL-158</t>
  </si>
  <si>
    <t>Inhouse Training to Strengthen Peer Support Capacity</t>
  </si>
  <si>
    <t>201.37.BL-159</t>
  </si>
  <si>
    <t>Peer Support Training for tracking LTFU</t>
  </si>
  <si>
    <t>101.36.BL-160</t>
  </si>
  <si>
    <t>Finance System Hardware Procurement</t>
  </si>
  <si>
    <t>201.38.BL-161</t>
  </si>
  <si>
    <t>Demand generation campaign - National Test &amp; Treat Campaign</t>
  </si>
  <si>
    <t>402.15.BL-162</t>
  </si>
  <si>
    <t>Financial Training: FINA Software and Risk Mitigation of Financial Management</t>
  </si>
  <si>
    <t>201.39.BL-163</t>
  </si>
  <si>
    <t>Joint validation of community data with health service facility data</t>
  </si>
  <si>
    <t>601.12.BL-164</t>
  </si>
  <si>
    <t>Programmatic review</t>
  </si>
  <si>
    <t>601.11.BL-164</t>
  </si>
  <si>
    <t>3.4 Other External Professional services (EPS)</t>
  </si>
  <si>
    <t>201.40.BL-165</t>
  </si>
  <si>
    <t>Building awareness and mobilizing domestic resourses workshop for sustainability of HIV program</t>
  </si>
  <si>
    <t>201.41.BL-166</t>
  </si>
  <si>
    <t>Workshop for Social business development of Community Base Clinic for Sustainablity</t>
  </si>
  <si>
    <t>201.42.BL-167</t>
  </si>
  <si>
    <t>Consultant fee for Social business development of Community Base Clinic for Sustainablity</t>
  </si>
  <si>
    <t>201.43.BL-168</t>
  </si>
  <si>
    <t>Semesterly cascade to increase treatment uptake including partner notification asessment Approach</t>
  </si>
  <si>
    <t>701.01.BL-24118</t>
  </si>
  <si>
    <t>COVID-19</t>
  </si>
  <si>
    <t>Mitigation for HIV programs</t>
  </si>
  <si>
    <t>3.0 External Professional services (EPS)</t>
  </si>
  <si>
    <t>Empowering Communities: Enhancing COVID-19, Pandemic Prevention Preparedness &amp; Response, and HIV/TB Awareness and Resources through Spiritia Digital</t>
  </si>
  <si>
    <t>704.04.BL-24118</t>
  </si>
  <si>
    <t>COVID-19 CSS: Community-based organizations institutional ca</t>
  </si>
  <si>
    <t>3.4 External Professional services (EPS)</t>
  </si>
  <si>
    <t>702.01.BL-24129</t>
  </si>
  <si>
    <t>Respond to human rights and gender related barriers to servi</t>
  </si>
  <si>
    <t>Module Development: Empowering Communities to Lead the Fight for Human Rights in HIV and Pandemic Prevention, Preparedness, and Response</t>
  </si>
  <si>
    <t>704.05.BL-24129</t>
  </si>
  <si>
    <t>703.01.BL-24130</t>
  </si>
  <si>
    <t>Gender-based violence prevention and post violence care (COV</t>
  </si>
  <si>
    <t>Provision of support and protection for PLHIV and their partners including KAP related to GBV/IPV during Covid-19 Pandemic</t>
  </si>
  <si>
    <t>701.02.BL-24133</t>
  </si>
  <si>
    <t>Workshop for SSRs: Empowering Communities to Lead the Fight for Human Rights in HIV and Pandemic Prevention, Preparedness, and Response</t>
  </si>
  <si>
    <t>704.06.BL-24133</t>
  </si>
  <si>
    <t>Workshop for SSRs: Empowering Communities to Lead the Fight for Human Rights in HIV and Pandemic Prevention, Preparedness, and</t>
  </si>
  <si>
    <t>704.01.BL-24134</t>
  </si>
  <si>
    <t>Workshop for IUs: Empowering Communities</t>
  </si>
  <si>
    <t>704.02.BL-24135</t>
  </si>
  <si>
    <t>National Program dan ME for PPPR &amp; Covid-19 Coordinator</t>
  </si>
  <si>
    <t>704.03.BL-24136</t>
  </si>
  <si>
    <t>Emergency Response in Action: A Workshop on Rapid Mitigation Strategies for SSR &amp; IU</t>
  </si>
  <si>
    <t>TOTAL</t>
  </si>
  <si>
    <t>Total Pengeluaran</t>
  </si>
  <si>
    <t>Sisa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</si>
</sst>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0"/>
      <color theme="1"/>
      <name val="Calibri"/>
      <family val="2"/>
      <charset val="1"/>
      <scheme val="minor"/>
    </font>
    <font>
      <b/>
      <sz val="12"/>
      <color theme="1"/>
      <name val="Calibri"/>
      <family val="2"/>
      <charset val="1"/>
      <scheme val="minor"/>
    </font>
    <font>
      <b/>
      <sz val="18"/>
      <color theme="1"/>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43" fontId="16" fillId="0" borderId="10" xfId="1" applyFont="1" applyBorder="1" applyAlignment="1">
      <alignment horizontal="center" vertical="center" wrapText="1"/>
    </xf>
    <xf numFmtId="14" fontId="18" fillId="0" borderId="0" xfId="0" applyNumberFormat="1" applyFont="1" applyAlignment="1"/>
    <xf numFmtId="0" fontId="0" fillId="0" borderId="0" xfId="0" applyAlignment="1"/>
    <xf numFmtId="43" fontId="0" fillId="0" borderId="0" xfId="1" applyFont="1" applyAlignment="1"/>
    <xf numFmtId="0" fontId="19" fillId="0" borderId="0" xfId="0" applyFont="1" applyAlignment="1"/>
    <xf numFmtId="0" fontId="20" fillId="0" borderId="0" xfId="0" applyFont="1" applyAlignment="1"/>
    <xf numFmtId="0" fontId="16" fillId="0" borderId="10" xfId="0" applyFont="1" applyBorder="1" applyAlignment="1">
      <alignment horizontal="center" vertical="center"/>
    </xf>
    <xf numFmtId="43" fontId="16" fillId="0" borderId="10" xfId="1" applyFont="1" applyBorder="1" applyAlignment="1">
      <alignment horizontal="center" vertical="center"/>
    </xf>
    <xf numFmtId="0" fontId="0" fillId="0" borderId="10" xfId="0" applyBorder="1" applyAlignment="1">
      <alignment horizontal="left"/>
    </xf>
    <xf numFmtId="43" fontId="0" fillId="0" borderId="10" xfId="1" applyFont="1" applyBorder="1" applyAlignment="1">
      <alignment horizontal="right"/>
    </xf>
    <xf numFmtId="0" fontId="16" fillId="0" borderId="11" xfId="0" applyFont="1" applyBorder="1" applyAlignment="1"/>
    <xf numFmtId="0" fontId="16" fillId="0" borderId="12" xfId="0" applyFont="1" applyBorder="1" applyAlignment="1"/>
    <xf numFmtId="0" fontId="16" fillId="0" borderId="13" xfId="0" applyFont="1" applyBorder="1" applyAlignment="1"/>
    <xf numFmtId="43" fontId="16" fillId="0" borderId="10" xfId="1" applyFont="1" applyBorder="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B485-C0F3-45D4-A016-0EB918D0FED1}">
  <dimension ref="A1:AI189"/>
  <sheetViews>
    <sheetView tabSelected="1" topLeftCell="B1" workbookViewId="0">
      <selection activeCell="AF9" sqref="AF9"/>
    </sheetView>
  </sheetViews>
  <sheetFormatPr defaultRowHeight="14.5" x14ac:dyDescent="0.35"/>
  <cols>
    <col min="1" max="1" width="7.90625" style="3" bestFit="1" customWidth="1"/>
    <col min="2" max="2" width="14.54296875" style="3" bestFit="1" customWidth="1"/>
    <col min="3" max="3" width="22.26953125" style="3" customWidth="1"/>
    <col min="4" max="4" width="17.90625" style="3" customWidth="1"/>
    <col min="5" max="5" width="31.7265625" style="3" customWidth="1"/>
    <col min="6" max="6" width="34.90625" style="3" bestFit="1" customWidth="1"/>
    <col min="7" max="7" width="21.36328125" style="3" bestFit="1" customWidth="1"/>
    <col min="8" max="8" width="13.453125" style="4" bestFit="1" customWidth="1"/>
    <col min="9" max="9" width="10.81640625" style="4" bestFit="1" customWidth="1"/>
    <col min="10" max="10" width="22.453125" style="4" bestFit="1" customWidth="1"/>
    <col min="11" max="11" width="10.90625" style="4" bestFit="1" customWidth="1"/>
    <col min="12" max="12" width="12.81640625" style="4" bestFit="1" customWidth="1"/>
    <col min="13" max="13" width="10.81640625" style="4" bestFit="1" customWidth="1"/>
    <col min="14" max="14" width="13.08984375" style="4" bestFit="1" customWidth="1"/>
    <col min="15" max="15" width="22.7265625" style="4" bestFit="1" customWidth="1"/>
    <col min="16" max="16" width="10.08984375" style="4" bestFit="1" customWidth="1"/>
    <col min="17" max="17" width="18.453125" style="4" bestFit="1" customWidth="1"/>
    <col min="18" max="18" width="14.6328125" style="4" bestFit="1" customWidth="1"/>
    <col min="19" max="19" width="21" style="4" bestFit="1" customWidth="1"/>
    <col min="20" max="20" width="19.54296875" style="4" bestFit="1" customWidth="1"/>
    <col min="21" max="21" width="13.1796875" style="4" bestFit="1" customWidth="1"/>
    <col min="22" max="22" width="9.81640625" style="4" bestFit="1" customWidth="1"/>
    <col min="23" max="23" width="13.08984375" style="4" bestFit="1" customWidth="1"/>
    <col min="24" max="24" width="12.453125" style="4" bestFit="1" customWidth="1"/>
    <col min="25" max="25" width="18.36328125" style="4" bestFit="1" customWidth="1"/>
    <col min="26" max="26" width="12" style="4" customWidth="1"/>
    <col min="27" max="27" width="12.1796875" style="4" bestFit="1" customWidth="1"/>
    <col min="28" max="28" width="15.7265625" style="4" bestFit="1" customWidth="1"/>
    <col min="29" max="30" width="15.6328125" style="4" bestFit="1" customWidth="1"/>
    <col min="31" max="31" width="11.90625" style="4" customWidth="1"/>
    <col min="32" max="32" width="16.453125" style="4" customWidth="1"/>
    <col min="33" max="33" width="17.1796875" style="4" customWidth="1"/>
    <col min="34" max="34" width="16.7265625" style="4" customWidth="1"/>
    <col min="35" max="35" width="14.7265625" style="4" customWidth="1"/>
    <col min="36" max="16384" width="8.7265625" style="3"/>
  </cols>
  <sheetData>
    <row r="1" spans="1:35" x14ac:dyDescent="0.35">
      <c r="A1" s="2">
        <v>46099</v>
      </c>
    </row>
    <row r="3" spans="1:35" ht="15.5" x14ac:dyDescent="0.35">
      <c r="A3" s="5" t="s">
        <v>0</v>
      </c>
    </row>
    <row r="5" spans="1:35" ht="23.5" x14ac:dyDescent="0.55000000000000004">
      <c r="A5" s="6" t="s">
        <v>1</v>
      </c>
    </row>
    <row r="7" spans="1:35" ht="23.5" x14ac:dyDescent="0.55000000000000004">
      <c r="A7" s="6" t="s">
        <v>2</v>
      </c>
    </row>
    <row r="9" spans="1:35" ht="43.5" x14ac:dyDescent="0.35">
      <c r="A9" s="7" t="s">
        <v>3</v>
      </c>
      <c r="B9" s="7" t="s">
        <v>4</v>
      </c>
      <c r="C9" s="7" t="s">
        <v>5</v>
      </c>
      <c r="D9" s="7" t="s">
        <v>6</v>
      </c>
      <c r="E9" s="7" t="s">
        <v>7</v>
      </c>
      <c r="F9" s="7" t="s">
        <v>8</v>
      </c>
      <c r="G9" s="7" t="s">
        <v>9</v>
      </c>
      <c r="H9" s="8" t="s">
        <v>10</v>
      </c>
      <c r="I9" s="8" t="s">
        <v>11</v>
      </c>
      <c r="J9" s="8" t="s">
        <v>12</v>
      </c>
      <c r="K9" s="8" t="s">
        <v>13</v>
      </c>
      <c r="L9" s="8" t="s">
        <v>14</v>
      </c>
      <c r="M9" s="8" t="s">
        <v>15</v>
      </c>
      <c r="N9" s="8" t="s">
        <v>16</v>
      </c>
      <c r="O9" s="8" t="s">
        <v>17</v>
      </c>
      <c r="P9" s="8" t="s">
        <v>18</v>
      </c>
      <c r="Q9" s="8" t="s">
        <v>19</v>
      </c>
      <c r="R9" s="8" t="s">
        <v>20</v>
      </c>
      <c r="S9" s="8" t="s">
        <v>21</v>
      </c>
      <c r="T9" s="8" t="s">
        <v>22</v>
      </c>
      <c r="U9" s="8" t="s">
        <v>23</v>
      </c>
      <c r="V9" s="8" t="s">
        <v>24</v>
      </c>
      <c r="W9" s="8" t="s">
        <v>25</v>
      </c>
      <c r="X9" s="8" t="s">
        <v>26</v>
      </c>
      <c r="Y9" s="8" t="s">
        <v>27</v>
      </c>
      <c r="Z9" s="8" t="s">
        <v>28</v>
      </c>
      <c r="AA9" s="8" t="s">
        <v>29</v>
      </c>
      <c r="AB9" s="8" t="s">
        <v>30</v>
      </c>
      <c r="AC9" s="8" t="s">
        <v>31</v>
      </c>
      <c r="AD9" s="8" t="s">
        <v>32</v>
      </c>
      <c r="AE9" s="8" t="s">
        <v>33</v>
      </c>
      <c r="AF9" s="8" t="s">
        <v>34</v>
      </c>
      <c r="AG9" s="1" t="s">
        <v>35</v>
      </c>
      <c r="AH9" s="8" t="s">
        <v>449</v>
      </c>
      <c r="AI9" s="8" t="s">
        <v>450</v>
      </c>
    </row>
    <row r="10" spans="1:35" x14ac:dyDescent="0.35">
      <c r="A10" s="9">
        <v>1</v>
      </c>
      <c r="B10" s="9" t="s">
        <v>36</v>
      </c>
      <c r="C10" s="9" t="s">
        <v>37</v>
      </c>
      <c r="D10" s="9" t="s">
        <v>38</v>
      </c>
      <c r="E10" s="9" t="s">
        <v>39</v>
      </c>
      <c r="F10" s="9" t="s">
        <v>40</v>
      </c>
      <c r="G10" s="9" t="s">
        <v>41</v>
      </c>
      <c r="H10" s="10">
        <v>266054.44</v>
      </c>
      <c r="I10" s="10">
        <v>39119.25</v>
      </c>
      <c r="J10" s="10">
        <v>0</v>
      </c>
      <c r="K10" s="10">
        <v>0</v>
      </c>
      <c r="L10" s="10">
        <v>2.59</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f>SUM(I10:AG10)</f>
        <v>39121.839999999997</v>
      </c>
      <c r="AI10" s="10">
        <f>H10-AH10</f>
        <v>226932.6</v>
      </c>
    </row>
    <row r="11" spans="1:35" x14ac:dyDescent="0.35">
      <c r="A11" s="9">
        <v>2</v>
      </c>
      <c r="B11" s="9" t="s">
        <v>42</v>
      </c>
      <c r="C11" s="9" t="s">
        <v>37</v>
      </c>
      <c r="D11" s="9" t="s">
        <v>38</v>
      </c>
      <c r="E11" s="9" t="s">
        <v>39</v>
      </c>
      <c r="F11" s="9" t="s">
        <v>43</v>
      </c>
      <c r="G11" s="9" t="s">
        <v>41</v>
      </c>
      <c r="H11" s="10">
        <v>7761.92</v>
      </c>
      <c r="I11" s="10">
        <v>1117.3499999999999</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f t="shared" ref="AH11:AH74" si="0">SUM(I11:AG11)</f>
        <v>1117.3499999999999</v>
      </c>
      <c r="AI11" s="10">
        <f t="shared" ref="AI11:AI74" si="1">H11-AH11</f>
        <v>6644.57</v>
      </c>
    </row>
    <row r="12" spans="1:35" x14ac:dyDescent="0.35">
      <c r="A12" s="9">
        <v>3</v>
      </c>
      <c r="B12" s="9" t="s">
        <v>44</v>
      </c>
      <c r="C12" s="9" t="s">
        <v>37</v>
      </c>
      <c r="D12" s="9" t="s">
        <v>38</v>
      </c>
      <c r="E12" s="9" t="s">
        <v>39</v>
      </c>
      <c r="F12" s="9" t="s">
        <v>45</v>
      </c>
      <c r="G12" s="9" t="s">
        <v>41</v>
      </c>
      <c r="H12" s="10">
        <v>14956.64</v>
      </c>
      <c r="I12" s="10">
        <v>2163.9699999999998</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f t="shared" si="0"/>
        <v>2163.9699999999998</v>
      </c>
      <c r="AI12" s="10">
        <f t="shared" si="1"/>
        <v>12792.67</v>
      </c>
    </row>
    <row r="13" spans="1:35" x14ac:dyDescent="0.35">
      <c r="A13" s="9">
        <v>4</v>
      </c>
      <c r="B13" s="9" t="s">
        <v>46</v>
      </c>
      <c r="C13" s="9" t="s">
        <v>37</v>
      </c>
      <c r="D13" s="9" t="s">
        <v>38</v>
      </c>
      <c r="E13" s="9" t="s">
        <v>39</v>
      </c>
      <c r="F13" s="9" t="s">
        <v>47</v>
      </c>
      <c r="G13" s="9" t="s">
        <v>41</v>
      </c>
      <c r="H13" s="10">
        <v>44342.41</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f t="shared" si="0"/>
        <v>0</v>
      </c>
      <c r="AI13" s="10">
        <f t="shared" si="1"/>
        <v>44342.41</v>
      </c>
    </row>
    <row r="14" spans="1:35" x14ac:dyDescent="0.35">
      <c r="A14" s="9">
        <v>5</v>
      </c>
      <c r="B14" s="9" t="s">
        <v>48</v>
      </c>
      <c r="C14" s="9" t="s">
        <v>37</v>
      </c>
      <c r="D14" s="9" t="s">
        <v>38</v>
      </c>
      <c r="E14" s="9" t="s">
        <v>39</v>
      </c>
      <c r="F14" s="9" t="s">
        <v>49</v>
      </c>
      <c r="G14" s="9" t="s">
        <v>50</v>
      </c>
      <c r="H14" s="10">
        <v>216875.92</v>
      </c>
      <c r="I14" s="10">
        <v>0</v>
      </c>
      <c r="J14" s="10">
        <v>0</v>
      </c>
      <c r="K14" s="10">
        <v>11325.01</v>
      </c>
      <c r="L14" s="10">
        <v>11152.64</v>
      </c>
      <c r="M14" s="10">
        <v>10908.76</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f t="shared" si="0"/>
        <v>33386.410000000003</v>
      </c>
      <c r="AI14" s="10">
        <f t="shared" si="1"/>
        <v>183489.51</v>
      </c>
    </row>
    <row r="15" spans="1:35" x14ac:dyDescent="0.35">
      <c r="A15" s="9">
        <v>6</v>
      </c>
      <c r="B15" s="9" t="s">
        <v>51</v>
      </c>
      <c r="C15" s="9" t="s">
        <v>37</v>
      </c>
      <c r="D15" s="9" t="s">
        <v>38</v>
      </c>
      <c r="E15" s="9" t="s">
        <v>39</v>
      </c>
      <c r="F15" s="9" t="s">
        <v>52</v>
      </c>
      <c r="G15" s="9" t="s">
        <v>50</v>
      </c>
      <c r="H15" s="10">
        <v>8271.26</v>
      </c>
      <c r="I15" s="10">
        <v>0</v>
      </c>
      <c r="J15" s="10">
        <v>0</v>
      </c>
      <c r="K15" s="10">
        <v>634.86</v>
      </c>
      <c r="L15" s="10">
        <v>633.74</v>
      </c>
      <c r="M15" s="10">
        <v>616.26</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f t="shared" si="0"/>
        <v>1884.86</v>
      </c>
      <c r="AI15" s="10">
        <f t="shared" si="1"/>
        <v>6386.4000000000005</v>
      </c>
    </row>
    <row r="16" spans="1:35" x14ac:dyDescent="0.35">
      <c r="A16" s="9">
        <v>7</v>
      </c>
      <c r="B16" s="9" t="s">
        <v>53</v>
      </c>
      <c r="C16" s="9" t="s">
        <v>37</v>
      </c>
      <c r="D16" s="9" t="s">
        <v>38</v>
      </c>
      <c r="E16" s="9" t="s">
        <v>39</v>
      </c>
      <c r="F16" s="9" t="s">
        <v>54</v>
      </c>
      <c r="G16" s="9" t="s">
        <v>50</v>
      </c>
      <c r="H16" s="10">
        <v>13015.71</v>
      </c>
      <c r="I16" s="10">
        <v>0</v>
      </c>
      <c r="J16" s="10">
        <v>0</v>
      </c>
      <c r="K16" s="10">
        <v>1012.7</v>
      </c>
      <c r="L16" s="10">
        <v>676.19</v>
      </c>
      <c r="M16" s="10">
        <v>649.16</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f t="shared" si="0"/>
        <v>2338.0500000000002</v>
      </c>
      <c r="AI16" s="10">
        <f t="shared" si="1"/>
        <v>10677.66</v>
      </c>
    </row>
    <row r="17" spans="1:35" x14ac:dyDescent="0.35">
      <c r="A17" s="9">
        <v>8</v>
      </c>
      <c r="B17" s="9" t="s">
        <v>55</v>
      </c>
      <c r="C17" s="9" t="s">
        <v>37</v>
      </c>
      <c r="D17" s="9" t="s">
        <v>38</v>
      </c>
      <c r="E17" s="9" t="s">
        <v>39</v>
      </c>
      <c r="F17" s="9" t="s">
        <v>56</v>
      </c>
      <c r="G17" s="9" t="s">
        <v>50</v>
      </c>
      <c r="H17" s="10">
        <v>36145.99</v>
      </c>
      <c r="I17" s="10">
        <v>0</v>
      </c>
      <c r="J17" s="10">
        <v>0</v>
      </c>
      <c r="K17" s="10">
        <v>1381.21</v>
      </c>
      <c r="L17" s="10">
        <v>1247.79</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f t="shared" si="0"/>
        <v>2629</v>
      </c>
      <c r="AI17" s="10">
        <f t="shared" si="1"/>
        <v>33516.99</v>
      </c>
    </row>
    <row r="18" spans="1:35" x14ac:dyDescent="0.35">
      <c r="A18" s="9">
        <v>9</v>
      </c>
      <c r="B18" s="9" t="s">
        <v>57</v>
      </c>
      <c r="C18" s="9" t="s">
        <v>37</v>
      </c>
      <c r="D18" s="9" t="s">
        <v>38</v>
      </c>
      <c r="E18" s="9" t="s">
        <v>39</v>
      </c>
      <c r="F18" s="9" t="s">
        <v>58</v>
      </c>
      <c r="G18" s="9" t="s">
        <v>50</v>
      </c>
      <c r="H18" s="10">
        <v>562729.54</v>
      </c>
      <c r="I18" s="10">
        <v>0</v>
      </c>
      <c r="J18" s="10">
        <v>0</v>
      </c>
      <c r="K18" s="10">
        <v>27136.89</v>
      </c>
      <c r="L18" s="10">
        <v>28731.99</v>
      </c>
      <c r="M18" s="10">
        <v>30713.41</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f t="shared" si="0"/>
        <v>86582.290000000008</v>
      </c>
      <c r="AI18" s="10">
        <f t="shared" si="1"/>
        <v>476147.25</v>
      </c>
    </row>
    <row r="19" spans="1:35" x14ac:dyDescent="0.35">
      <c r="A19" s="9">
        <v>10</v>
      </c>
      <c r="B19" s="9" t="s">
        <v>59</v>
      </c>
      <c r="C19" s="9" t="s">
        <v>37</v>
      </c>
      <c r="D19" s="9" t="s">
        <v>38</v>
      </c>
      <c r="E19" s="9" t="s">
        <v>39</v>
      </c>
      <c r="F19" s="9" t="s">
        <v>60</v>
      </c>
      <c r="G19" s="9" t="s">
        <v>50</v>
      </c>
      <c r="H19" s="10">
        <v>22509.18</v>
      </c>
      <c r="I19" s="10">
        <v>0</v>
      </c>
      <c r="J19" s="10">
        <v>0</v>
      </c>
      <c r="K19" s="10">
        <v>1510.31</v>
      </c>
      <c r="L19" s="10">
        <v>1663.5</v>
      </c>
      <c r="M19" s="10">
        <v>1793.25</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f t="shared" si="0"/>
        <v>4967.0599999999995</v>
      </c>
      <c r="AI19" s="10">
        <f t="shared" si="1"/>
        <v>17542.120000000003</v>
      </c>
    </row>
    <row r="20" spans="1:35" x14ac:dyDescent="0.35">
      <c r="A20" s="9">
        <v>11</v>
      </c>
      <c r="B20" s="9" t="s">
        <v>61</v>
      </c>
      <c r="C20" s="9" t="s">
        <v>37</v>
      </c>
      <c r="D20" s="9" t="s">
        <v>38</v>
      </c>
      <c r="E20" s="9" t="s">
        <v>39</v>
      </c>
      <c r="F20" s="9" t="s">
        <v>62</v>
      </c>
      <c r="G20" s="9" t="s">
        <v>50</v>
      </c>
      <c r="H20" s="10">
        <v>35114.33</v>
      </c>
      <c r="I20" s="10">
        <v>0</v>
      </c>
      <c r="J20" s="10">
        <v>0</v>
      </c>
      <c r="K20" s="10">
        <v>2049.4499999999998</v>
      </c>
      <c r="L20" s="10">
        <v>2035.32</v>
      </c>
      <c r="M20" s="10">
        <v>1947.82</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f t="shared" si="0"/>
        <v>6032.5899999999992</v>
      </c>
      <c r="AI20" s="10">
        <f t="shared" si="1"/>
        <v>29081.74</v>
      </c>
    </row>
    <row r="21" spans="1:35" x14ac:dyDescent="0.35">
      <c r="A21" s="9">
        <v>12</v>
      </c>
      <c r="B21" s="9" t="s">
        <v>63</v>
      </c>
      <c r="C21" s="9" t="s">
        <v>37</v>
      </c>
      <c r="D21" s="9" t="s">
        <v>38</v>
      </c>
      <c r="E21" s="9" t="s">
        <v>39</v>
      </c>
      <c r="F21" s="9" t="s">
        <v>64</v>
      </c>
      <c r="G21" s="9" t="s">
        <v>50</v>
      </c>
      <c r="H21" s="10">
        <v>93788.26</v>
      </c>
      <c r="I21" s="10">
        <v>0</v>
      </c>
      <c r="J21" s="10">
        <v>0</v>
      </c>
      <c r="K21" s="10">
        <v>3335.94</v>
      </c>
      <c r="L21" s="10">
        <v>3539.23</v>
      </c>
      <c r="M21" s="10">
        <v>3776.35</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f t="shared" si="0"/>
        <v>10651.52</v>
      </c>
      <c r="AI21" s="10">
        <f t="shared" si="1"/>
        <v>83136.739999999991</v>
      </c>
    </row>
    <row r="22" spans="1:35" x14ac:dyDescent="0.35">
      <c r="A22" s="9">
        <v>13</v>
      </c>
      <c r="B22" s="9" t="s">
        <v>65</v>
      </c>
      <c r="C22" s="9" t="s">
        <v>37</v>
      </c>
      <c r="D22" s="9" t="s">
        <v>38</v>
      </c>
      <c r="E22" s="9" t="s">
        <v>39</v>
      </c>
      <c r="F22" s="9" t="s">
        <v>66</v>
      </c>
      <c r="G22" s="9" t="s">
        <v>67</v>
      </c>
      <c r="H22" s="10">
        <v>339656.12</v>
      </c>
      <c r="I22" s="10">
        <v>0</v>
      </c>
      <c r="J22" s="10">
        <v>0</v>
      </c>
      <c r="K22" s="10">
        <v>0</v>
      </c>
      <c r="L22" s="10">
        <v>0</v>
      </c>
      <c r="M22" s="10">
        <v>0</v>
      </c>
      <c r="N22" s="10">
        <v>3635.43</v>
      </c>
      <c r="O22" s="10">
        <v>1557.43</v>
      </c>
      <c r="P22" s="10">
        <v>1520.83</v>
      </c>
      <c r="Q22" s="10">
        <v>1568.05</v>
      </c>
      <c r="R22" s="10">
        <v>1636.05</v>
      </c>
      <c r="S22" s="10">
        <v>2307.0300000000002</v>
      </c>
      <c r="T22" s="10">
        <v>5498.92</v>
      </c>
      <c r="U22" s="10">
        <v>4904.8</v>
      </c>
      <c r="V22" s="10">
        <v>4371.99</v>
      </c>
      <c r="W22" s="10">
        <v>1698.73</v>
      </c>
      <c r="X22" s="10">
        <v>5486.01</v>
      </c>
      <c r="Y22" s="10">
        <v>2905.63</v>
      </c>
      <c r="Z22" s="10">
        <v>1771.02</v>
      </c>
      <c r="AA22" s="10">
        <v>1388.47</v>
      </c>
      <c r="AB22" s="10">
        <v>2005.43</v>
      </c>
      <c r="AC22" s="10">
        <v>1859.95</v>
      </c>
      <c r="AD22" s="10">
        <v>2064.4899999999998</v>
      </c>
      <c r="AE22" s="10">
        <v>2677.21</v>
      </c>
      <c r="AF22" s="10">
        <v>1614.28</v>
      </c>
      <c r="AG22" s="10">
        <v>2158.61</v>
      </c>
      <c r="AH22" s="10">
        <f t="shared" si="0"/>
        <v>52630.359999999986</v>
      </c>
      <c r="AI22" s="10">
        <f t="shared" si="1"/>
        <v>287025.76</v>
      </c>
    </row>
    <row r="23" spans="1:35" x14ac:dyDescent="0.35">
      <c r="A23" s="9">
        <v>14</v>
      </c>
      <c r="B23" s="9" t="s">
        <v>68</v>
      </c>
      <c r="C23" s="9" t="s">
        <v>37</v>
      </c>
      <c r="D23" s="9" t="s">
        <v>38</v>
      </c>
      <c r="E23" s="9" t="s">
        <v>39</v>
      </c>
      <c r="F23" s="9" t="s">
        <v>69</v>
      </c>
      <c r="G23" s="9" t="s">
        <v>67</v>
      </c>
      <c r="H23" s="10">
        <v>13586.25</v>
      </c>
      <c r="I23" s="10">
        <v>0</v>
      </c>
      <c r="J23" s="10">
        <v>0</v>
      </c>
      <c r="K23" s="10">
        <v>0</v>
      </c>
      <c r="L23" s="10">
        <v>0</v>
      </c>
      <c r="M23" s="10">
        <v>0</v>
      </c>
      <c r="N23" s="10">
        <v>216.46</v>
      </c>
      <c r="O23" s="10">
        <v>82.36</v>
      </c>
      <c r="P23" s="10">
        <v>59.63</v>
      </c>
      <c r="Q23" s="10">
        <v>92.45</v>
      </c>
      <c r="R23" s="10">
        <v>96.62</v>
      </c>
      <c r="S23" s="10">
        <v>137.24</v>
      </c>
      <c r="T23" s="10">
        <v>327.2</v>
      </c>
      <c r="U23" s="10">
        <v>293.11</v>
      </c>
      <c r="V23" s="10">
        <v>260.08</v>
      </c>
      <c r="W23" s="10">
        <v>100.83</v>
      </c>
      <c r="X23" s="10">
        <v>327.64</v>
      </c>
      <c r="Y23" s="10">
        <v>172.63</v>
      </c>
      <c r="Z23" s="10">
        <v>103.75</v>
      </c>
      <c r="AA23" s="10">
        <v>82.68</v>
      </c>
      <c r="AB23" s="10">
        <v>119.7</v>
      </c>
      <c r="AC23" s="10">
        <v>110.88</v>
      </c>
      <c r="AD23" s="10">
        <v>123.01</v>
      </c>
      <c r="AE23" s="10">
        <v>159.74</v>
      </c>
      <c r="AF23" s="10">
        <v>95.87</v>
      </c>
      <c r="AG23" s="10">
        <v>86.03</v>
      </c>
      <c r="AH23" s="10">
        <f t="shared" si="0"/>
        <v>3047.9100000000003</v>
      </c>
      <c r="AI23" s="10">
        <f t="shared" si="1"/>
        <v>10538.34</v>
      </c>
    </row>
    <row r="24" spans="1:35" x14ac:dyDescent="0.35">
      <c r="A24" s="9">
        <v>15</v>
      </c>
      <c r="B24" s="9" t="s">
        <v>70</v>
      </c>
      <c r="C24" s="9" t="s">
        <v>37</v>
      </c>
      <c r="D24" s="9" t="s">
        <v>38</v>
      </c>
      <c r="E24" s="9" t="s">
        <v>39</v>
      </c>
      <c r="F24" s="9" t="s">
        <v>71</v>
      </c>
      <c r="G24" s="9" t="s">
        <v>67</v>
      </c>
      <c r="H24" s="10">
        <v>21194.54</v>
      </c>
      <c r="I24" s="10">
        <v>0</v>
      </c>
      <c r="J24" s="10">
        <v>0</v>
      </c>
      <c r="K24" s="10">
        <v>0</v>
      </c>
      <c r="L24" s="10">
        <v>0</v>
      </c>
      <c r="M24" s="10">
        <v>0</v>
      </c>
      <c r="N24" s="10">
        <v>225.73</v>
      </c>
      <c r="O24" s="10">
        <v>96.7</v>
      </c>
      <c r="P24" s="10">
        <v>94.59</v>
      </c>
      <c r="Q24" s="10">
        <v>97.41</v>
      </c>
      <c r="R24" s="10">
        <v>101.97</v>
      </c>
      <c r="S24" s="10">
        <v>143.25</v>
      </c>
      <c r="T24" s="10">
        <v>341.58</v>
      </c>
      <c r="U24" s="10">
        <v>304.20999999999998</v>
      </c>
      <c r="V24" s="10">
        <v>271.08</v>
      </c>
      <c r="W24" s="10">
        <v>105.29</v>
      </c>
      <c r="X24" s="10">
        <v>339.55</v>
      </c>
      <c r="Y24" s="10">
        <v>180.42</v>
      </c>
      <c r="Z24" s="10">
        <v>161.61000000000001</v>
      </c>
      <c r="AA24" s="10">
        <v>85.77</v>
      </c>
      <c r="AB24" s="10">
        <v>124.52</v>
      </c>
      <c r="AC24" s="10">
        <v>115.49</v>
      </c>
      <c r="AD24" s="10">
        <v>128.24</v>
      </c>
      <c r="AE24" s="10">
        <v>166.33</v>
      </c>
      <c r="AF24" s="10">
        <v>100.01</v>
      </c>
      <c r="AG24" s="10">
        <v>134.69999999999999</v>
      </c>
      <c r="AH24" s="10">
        <f t="shared" si="0"/>
        <v>3318.45</v>
      </c>
      <c r="AI24" s="10">
        <f t="shared" si="1"/>
        <v>17876.09</v>
      </c>
    </row>
    <row r="25" spans="1:35" x14ac:dyDescent="0.35">
      <c r="A25" s="9">
        <v>16</v>
      </c>
      <c r="B25" s="9" t="s">
        <v>72</v>
      </c>
      <c r="C25" s="9" t="s">
        <v>37</v>
      </c>
      <c r="D25" s="9" t="s">
        <v>38</v>
      </c>
      <c r="E25" s="9" t="s">
        <v>39</v>
      </c>
      <c r="F25" s="9" t="s">
        <v>73</v>
      </c>
      <c r="G25" s="9" t="s">
        <v>67</v>
      </c>
      <c r="H25" s="10">
        <v>56609.35</v>
      </c>
      <c r="I25" s="10">
        <v>0</v>
      </c>
      <c r="J25" s="10">
        <v>0</v>
      </c>
      <c r="K25" s="10">
        <v>0</v>
      </c>
      <c r="L25" s="10">
        <v>0</v>
      </c>
      <c r="M25" s="10">
        <v>0</v>
      </c>
      <c r="N25" s="10">
        <v>449.72</v>
      </c>
      <c r="O25" s="10">
        <v>191.17</v>
      </c>
      <c r="P25" s="10">
        <v>188.45</v>
      </c>
      <c r="Q25" s="10">
        <v>192.94</v>
      </c>
      <c r="R25" s="10">
        <v>201.27</v>
      </c>
      <c r="S25" s="10">
        <v>285.39999999999998</v>
      </c>
      <c r="T25" s="10">
        <v>676.04</v>
      </c>
      <c r="U25" s="10">
        <v>606.74</v>
      </c>
      <c r="V25" s="10">
        <v>540.87</v>
      </c>
      <c r="W25" s="10">
        <v>205.87</v>
      </c>
      <c r="X25" s="10">
        <v>678.69</v>
      </c>
      <c r="Y25" s="10">
        <v>0</v>
      </c>
      <c r="Z25" s="10">
        <v>215.92</v>
      </c>
      <c r="AA25" s="10">
        <v>0</v>
      </c>
      <c r="AB25" s="10">
        <v>248.07</v>
      </c>
      <c r="AC25" s="10">
        <v>230.08</v>
      </c>
      <c r="AD25" s="10">
        <v>255.38</v>
      </c>
      <c r="AE25" s="10">
        <v>331.17</v>
      </c>
      <c r="AF25" s="10">
        <v>199.25</v>
      </c>
      <c r="AG25" s="10">
        <v>0</v>
      </c>
      <c r="AH25" s="10">
        <f t="shared" si="0"/>
        <v>5697.03</v>
      </c>
      <c r="AI25" s="10">
        <f t="shared" si="1"/>
        <v>50912.32</v>
      </c>
    </row>
    <row r="26" spans="1:35" x14ac:dyDescent="0.35">
      <c r="A26" s="9">
        <v>17</v>
      </c>
      <c r="B26" s="9" t="s">
        <v>74</v>
      </c>
      <c r="C26" s="9" t="s">
        <v>37</v>
      </c>
      <c r="D26" s="9" t="s">
        <v>38</v>
      </c>
      <c r="E26" s="9" t="s">
        <v>75</v>
      </c>
      <c r="F26" s="9" t="s">
        <v>76</v>
      </c>
      <c r="G26" s="9" t="s">
        <v>41</v>
      </c>
      <c r="H26" s="10">
        <v>56078.75</v>
      </c>
      <c r="I26" s="10">
        <v>47389.120000000003</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f t="shared" si="0"/>
        <v>47389.120000000003</v>
      </c>
      <c r="AI26" s="10">
        <f t="shared" si="1"/>
        <v>8689.6299999999974</v>
      </c>
    </row>
    <row r="27" spans="1:35" x14ac:dyDescent="0.35">
      <c r="A27" s="9">
        <v>18</v>
      </c>
      <c r="B27" s="9" t="s">
        <v>77</v>
      </c>
      <c r="C27" s="9" t="s">
        <v>37</v>
      </c>
      <c r="D27" s="9" t="s">
        <v>38</v>
      </c>
      <c r="E27" s="9" t="s">
        <v>75</v>
      </c>
      <c r="F27" s="9" t="s">
        <v>78</v>
      </c>
      <c r="G27" s="9" t="s">
        <v>41</v>
      </c>
      <c r="H27" s="10">
        <v>33058.339999999997</v>
      </c>
      <c r="I27" s="10">
        <v>3350.51</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f t="shared" si="0"/>
        <v>3350.51</v>
      </c>
      <c r="AI27" s="10">
        <f t="shared" si="1"/>
        <v>29707.829999999994</v>
      </c>
    </row>
    <row r="28" spans="1:35" x14ac:dyDescent="0.35">
      <c r="A28" s="9">
        <v>19</v>
      </c>
      <c r="B28" s="9" t="s">
        <v>79</v>
      </c>
      <c r="C28" s="9" t="s">
        <v>37</v>
      </c>
      <c r="D28" s="9" t="s">
        <v>38</v>
      </c>
      <c r="E28" s="9" t="s">
        <v>75</v>
      </c>
      <c r="F28" s="9" t="s">
        <v>80</v>
      </c>
      <c r="G28" s="9" t="s">
        <v>50</v>
      </c>
      <c r="H28" s="10">
        <v>47276.35</v>
      </c>
      <c r="I28" s="10">
        <v>0</v>
      </c>
      <c r="J28" s="10">
        <v>0</v>
      </c>
      <c r="K28" s="10">
        <v>5227.45</v>
      </c>
      <c r="L28" s="10">
        <v>6258.87</v>
      </c>
      <c r="M28" s="10">
        <v>5135.47</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f t="shared" si="0"/>
        <v>16621.79</v>
      </c>
      <c r="AI28" s="10">
        <f t="shared" si="1"/>
        <v>30654.559999999998</v>
      </c>
    </row>
    <row r="29" spans="1:35" x14ac:dyDescent="0.35">
      <c r="A29" s="9">
        <v>20</v>
      </c>
      <c r="B29" s="9" t="s">
        <v>81</v>
      </c>
      <c r="C29" s="9" t="s">
        <v>37</v>
      </c>
      <c r="D29" s="9" t="s">
        <v>38</v>
      </c>
      <c r="E29" s="9" t="s">
        <v>75</v>
      </c>
      <c r="F29" s="9" t="s">
        <v>82</v>
      </c>
      <c r="G29" s="9" t="s">
        <v>83</v>
      </c>
      <c r="H29" s="10">
        <v>223310.56</v>
      </c>
      <c r="I29" s="10">
        <v>0</v>
      </c>
      <c r="J29" s="10">
        <v>0</v>
      </c>
      <c r="K29" s="10">
        <v>33509.660000000003</v>
      </c>
      <c r="L29" s="10">
        <v>32015.85</v>
      </c>
      <c r="M29" s="10">
        <v>28768.28</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f t="shared" si="0"/>
        <v>94293.790000000008</v>
      </c>
      <c r="AI29" s="10">
        <f t="shared" si="1"/>
        <v>129016.76999999999</v>
      </c>
    </row>
    <row r="30" spans="1:35" x14ac:dyDescent="0.35">
      <c r="A30" s="9">
        <v>21</v>
      </c>
      <c r="B30" s="9" t="s">
        <v>84</v>
      </c>
      <c r="C30" s="9" t="s">
        <v>37</v>
      </c>
      <c r="D30" s="9" t="s">
        <v>38</v>
      </c>
      <c r="E30" s="9" t="s">
        <v>75</v>
      </c>
      <c r="F30" s="9" t="s">
        <v>85</v>
      </c>
      <c r="G30" s="9" t="s">
        <v>67</v>
      </c>
      <c r="H30" s="10">
        <v>108062.46</v>
      </c>
      <c r="I30" s="10">
        <v>0</v>
      </c>
      <c r="J30" s="10">
        <v>0</v>
      </c>
      <c r="K30" s="10">
        <v>0</v>
      </c>
      <c r="L30" s="10">
        <v>0</v>
      </c>
      <c r="M30" s="10">
        <v>0</v>
      </c>
      <c r="N30" s="10">
        <v>3669.35</v>
      </c>
      <c r="O30" s="10">
        <v>1995.84</v>
      </c>
      <c r="P30" s="10">
        <v>1906.98</v>
      </c>
      <c r="Q30" s="10">
        <v>1178.57</v>
      </c>
      <c r="R30" s="10">
        <v>1995.17</v>
      </c>
      <c r="S30" s="10">
        <v>2170.5</v>
      </c>
      <c r="T30" s="10">
        <v>3705.23</v>
      </c>
      <c r="U30" s="10">
        <v>3582.01</v>
      </c>
      <c r="V30" s="10">
        <v>2553.3200000000002</v>
      </c>
      <c r="W30" s="10">
        <v>2271.61</v>
      </c>
      <c r="X30" s="10">
        <v>3013.42</v>
      </c>
      <c r="Y30" s="10">
        <v>3811.42</v>
      </c>
      <c r="Z30" s="10">
        <v>1546.68</v>
      </c>
      <c r="AA30" s="10">
        <v>1749.65</v>
      </c>
      <c r="AB30" s="10">
        <v>2138.02</v>
      </c>
      <c r="AC30" s="10">
        <v>2010.99</v>
      </c>
      <c r="AD30" s="10">
        <v>2149.14</v>
      </c>
      <c r="AE30" s="10">
        <v>2294.23</v>
      </c>
      <c r="AF30" s="10">
        <v>1931.63</v>
      </c>
      <c r="AG30" s="10">
        <v>1470.01</v>
      </c>
      <c r="AH30" s="10">
        <f t="shared" si="0"/>
        <v>47143.77</v>
      </c>
      <c r="AI30" s="10">
        <f t="shared" si="1"/>
        <v>60918.69000000001</v>
      </c>
    </row>
    <row r="31" spans="1:35" x14ac:dyDescent="0.35">
      <c r="A31" s="9">
        <v>22</v>
      </c>
      <c r="B31" s="9" t="s">
        <v>86</v>
      </c>
      <c r="C31" s="9" t="s">
        <v>37</v>
      </c>
      <c r="D31" s="9" t="s">
        <v>38</v>
      </c>
      <c r="E31" s="9" t="s">
        <v>87</v>
      </c>
      <c r="F31" s="9" t="s">
        <v>88</v>
      </c>
      <c r="G31" s="9" t="s">
        <v>41</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f t="shared" si="0"/>
        <v>0</v>
      </c>
      <c r="AI31" s="10">
        <f t="shared" si="1"/>
        <v>0</v>
      </c>
    </row>
    <row r="32" spans="1:35" x14ac:dyDescent="0.35">
      <c r="A32" s="9">
        <v>23</v>
      </c>
      <c r="B32" s="9" t="s">
        <v>89</v>
      </c>
      <c r="C32" s="9" t="s">
        <v>37</v>
      </c>
      <c r="D32" s="9" t="s">
        <v>38</v>
      </c>
      <c r="E32" s="9" t="s">
        <v>90</v>
      </c>
      <c r="F32" s="9" t="s">
        <v>91</v>
      </c>
      <c r="G32" s="9" t="s">
        <v>41</v>
      </c>
      <c r="H32" s="10">
        <v>61275.8</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f t="shared" si="0"/>
        <v>0</v>
      </c>
      <c r="AI32" s="10">
        <f t="shared" si="1"/>
        <v>61275.8</v>
      </c>
    </row>
    <row r="33" spans="1:35" x14ac:dyDescent="0.35">
      <c r="A33" s="9">
        <v>24</v>
      </c>
      <c r="B33" s="9" t="s">
        <v>92</v>
      </c>
      <c r="C33" s="9" t="s">
        <v>37</v>
      </c>
      <c r="D33" s="9" t="s">
        <v>38</v>
      </c>
      <c r="E33" s="9" t="s">
        <v>93</v>
      </c>
      <c r="F33" s="9" t="s">
        <v>94</v>
      </c>
      <c r="G33" s="9" t="s">
        <v>41</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f t="shared" si="0"/>
        <v>0</v>
      </c>
      <c r="AI33" s="10">
        <f t="shared" si="1"/>
        <v>0</v>
      </c>
    </row>
    <row r="34" spans="1:35" x14ac:dyDescent="0.35">
      <c r="A34" s="9">
        <v>25</v>
      </c>
      <c r="B34" s="9" t="s">
        <v>95</v>
      </c>
      <c r="C34" s="9" t="s">
        <v>37</v>
      </c>
      <c r="D34" s="9" t="s">
        <v>38</v>
      </c>
      <c r="E34" s="9" t="s">
        <v>75</v>
      </c>
      <c r="F34" s="9" t="s">
        <v>96</v>
      </c>
      <c r="G34" s="9" t="s">
        <v>41</v>
      </c>
      <c r="H34" s="10">
        <v>4745.84</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f t="shared" si="0"/>
        <v>0</v>
      </c>
      <c r="AI34" s="10">
        <f t="shared" si="1"/>
        <v>4745.84</v>
      </c>
    </row>
    <row r="35" spans="1:35" x14ac:dyDescent="0.35">
      <c r="A35" s="9">
        <v>26</v>
      </c>
      <c r="B35" s="9" t="s">
        <v>97</v>
      </c>
      <c r="C35" s="9" t="s">
        <v>37</v>
      </c>
      <c r="D35" s="9" t="s">
        <v>38</v>
      </c>
      <c r="E35" s="9" t="s">
        <v>98</v>
      </c>
      <c r="F35" s="9" t="s">
        <v>99</v>
      </c>
      <c r="G35" s="9" t="s">
        <v>41</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f t="shared" si="0"/>
        <v>0</v>
      </c>
      <c r="AI35" s="10">
        <f t="shared" si="1"/>
        <v>0</v>
      </c>
    </row>
    <row r="36" spans="1:35" x14ac:dyDescent="0.35">
      <c r="A36" s="9">
        <v>27</v>
      </c>
      <c r="B36" s="9" t="s">
        <v>100</v>
      </c>
      <c r="C36" s="9" t="s">
        <v>37</v>
      </c>
      <c r="D36" s="9" t="s">
        <v>38</v>
      </c>
      <c r="E36" s="9" t="s">
        <v>101</v>
      </c>
      <c r="F36" s="9" t="s">
        <v>102</v>
      </c>
      <c r="G36" s="9" t="s">
        <v>41</v>
      </c>
      <c r="H36" s="10">
        <v>29422.76</v>
      </c>
      <c r="I36" s="10">
        <v>689.08</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f t="shared" si="0"/>
        <v>689.08</v>
      </c>
      <c r="AI36" s="10">
        <f t="shared" si="1"/>
        <v>28733.679999999997</v>
      </c>
    </row>
    <row r="37" spans="1:35" x14ac:dyDescent="0.35">
      <c r="A37" s="9">
        <v>28</v>
      </c>
      <c r="B37" s="9" t="s">
        <v>103</v>
      </c>
      <c r="C37" s="9" t="s">
        <v>37</v>
      </c>
      <c r="D37" s="9" t="s">
        <v>38</v>
      </c>
      <c r="E37" s="9" t="s">
        <v>104</v>
      </c>
      <c r="F37" s="9" t="s">
        <v>105</v>
      </c>
      <c r="G37" s="9" t="s">
        <v>41</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f t="shared" si="0"/>
        <v>0</v>
      </c>
      <c r="AI37" s="10">
        <f t="shared" si="1"/>
        <v>0</v>
      </c>
    </row>
    <row r="38" spans="1:35" x14ac:dyDescent="0.35">
      <c r="A38" s="9">
        <v>29</v>
      </c>
      <c r="B38" s="9" t="s">
        <v>106</v>
      </c>
      <c r="C38" s="9" t="s">
        <v>37</v>
      </c>
      <c r="D38" s="9" t="s">
        <v>38</v>
      </c>
      <c r="E38" s="9" t="s">
        <v>107</v>
      </c>
      <c r="F38" s="9" t="s">
        <v>108</v>
      </c>
      <c r="G38" s="9" t="s">
        <v>41</v>
      </c>
      <c r="H38" s="10">
        <v>71269.78</v>
      </c>
      <c r="I38" s="10">
        <v>4189.6000000000004</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f t="shared" si="0"/>
        <v>4189.6000000000004</v>
      </c>
      <c r="AI38" s="10">
        <f t="shared" si="1"/>
        <v>67080.179999999993</v>
      </c>
    </row>
    <row r="39" spans="1:35" x14ac:dyDescent="0.35">
      <c r="A39" s="9">
        <v>30</v>
      </c>
      <c r="B39" s="9" t="s">
        <v>109</v>
      </c>
      <c r="C39" s="9" t="s">
        <v>37</v>
      </c>
      <c r="D39" s="9" t="s">
        <v>38</v>
      </c>
      <c r="E39" s="9" t="s">
        <v>110</v>
      </c>
      <c r="F39" s="9" t="s">
        <v>111</v>
      </c>
      <c r="G39" s="9" t="s">
        <v>41</v>
      </c>
      <c r="H39" s="10">
        <v>9197.01</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f t="shared" si="0"/>
        <v>0</v>
      </c>
      <c r="AI39" s="10">
        <f t="shared" si="1"/>
        <v>9197.01</v>
      </c>
    </row>
    <row r="40" spans="1:35" x14ac:dyDescent="0.35">
      <c r="A40" s="9">
        <v>31</v>
      </c>
      <c r="B40" s="9" t="s">
        <v>112</v>
      </c>
      <c r="C40" s="9" t="s">
        <v>113</v>
      </c>
      <c r="D40" s="9" t="s">
        <v>114</v>
      </c>
      <c r="E40" s="9" t="s">
        <v>110</v>
      </c>
      <c r="F40" s="9" t="s">
        <v>115</v>
      </c>
      <c r="G40" s="9" t="s">
        <v>41</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f t="shared" si="0"/>
        <v>0</v>
      </c>
      <c r="AI40" s="10">
        <f t="shared" si="1"/>
        <v>0</v>
      </c>
    </row>
    <row r="41" spans="1:35" x14ac:dyDescent="0.35">
      <c r="A41" s="9">
        <v>32</v>
      </c>
      <c r="B41" s="9" t="s">
        <v>116</v>
      </c>
      <c r="C41" s="9" t="s">
        <v>37</v>
      </c>
      <c r="D41" s="9" t="s">
        <v>117</v>
      </c>
      <c r="E41" s="9" t="s">
        <v>118</v>
      </c>
      <c r="F41" s="9" t="s">
        <v>119</v>
      </c>
      <c r="G41" s="9" t="s">
        <v>41</v>
      </c>
      <c r="H41" s="10">
        <v>19378.72</v>
      </c>
      <c r="I41" s="10">
        <v>402.68</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f t="shared" si="0"/>
        <v>402.68</v>
      </c>
      <c r="AI41" s="10">
        <f t="shared" si="1"/>
        <v>18976.04</v>
      </c>
    </row>
    <row r="42" spans="1:35" x14ac:dyDescent="0.35">
      <c r="A42" s="9">
        <v>33</v>
      </c>
      <c r="B42" s="9" t="s">
        <v>120</v>
      </c>
      <c r="C42" s="9" t="s">
        <v>37</v>
      </c>
      <c r="D42" s="9" t="s">
        <v>117</v>
      </c>
      <c r="E42" s="9" t="s">
        <v>118</v>
      </c>
      <c r="F42" s="9" t="s">
        <v>121</v>
      </c>
      <c r="G42" s="9" t="s">
        <v>41</v>
      </c>
      <c r="H42" s="10">
        <v>11758.99</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f t="shared" si="0"/>
        <v>0</v>
      </c>
      <c r="AI42" s="10">
        <f t="shared" si="1"/>
        <v>11758.99</v>
      </c>
    </row>
    <row r="43" spans="1:35" x14ac:dyDescent="0.35">
      <c r="A43" s="9">
        <v>34</v>
      </c>
      <c r="B43" s="9" t="s">
        <v>122</v>
      </c>
      <c r="C43" s="9" t="s">
        <v>123</v>
      </c>
      <c r="D43" s="9" t="s">
        <v>124</v>
      </c>
      <c r="E43" s="9" t="s">
        <v>125</v>
      </c>
      <c r="F43" s="9" t="s">
        <v>126</v>
      </c>
      <c r="G43" s="9" t="s">
        <v>83</v>
      </c>
      <c r="H43" s="10">
        <v>39470.61</v>
      </c>
      <c r="I43" s="10">
        <v>0</v>
      </c>
      <c r="J43" s="10">
        <v>0</v>
      </c>
      <c r="K43" s="10">
        <v>2248.61</v>
      </c>
      <c r="L43" s="10">
        <v>2616.39</v>
      </c>
      <c r="M43" s="10">
        <v>2053.4499999999998</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f t="shared" si="0"/>
        <v>6918.45</v>
      </c>
      <c r="AI43" s="10">
        <f t="shared" si="1"/>
        <v>32552.16</v>
      </c>
    </row>
    <row r="44" spans="1:35" x14ac:dyDescent="0.35">
      <c r="A44" s="9">
        <v>35</v>
      </c>
      <c r="B44" s="9" t="s">
        <v>127</v>
      </c>
      <c r="C44" s="9" t="s">
        <v>123</v>
      </c>
      <c r="D44" s="9" t="s">
        <v>128</v>
      </c>
      <c r="E44" s="9" t="s">
        <v>107</v>
      </c>
      <c r="F44" s="9" t="s">
        <v>129</v>
      </c>
      <c r="G44" s="9" t="s">
        <v>83</v>
      </c>
      <c r="H44" s="10">
        <v>3618.3</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f t="shared" si="0"/>
        <v>0</v>
      </c>
      <c r="AI44" s="10">
        <f t="shared" si="1"/>
        <v>3618.3</v>
      </c>
    </row>
    <row r="45" spans="1:35" x14ac:dyDescent="0.35">
      <c r="A45" s="9">
        <v>36</v>
      </c>
      <c r="B45" s="9" t="s">
        <v>130</v>
      </c>
      <c r="C45" s="9" t="s">
        <v>123</v>
      </c>
      <c r="D45" s="9" t="s">
        <v>128</v>
      </c>
      <c r="E45" s="9" t="s">
        <v>118</v>
      </c>
      <c r="F45" s="9" t="s">
        <v>131</v>
      </c>
      <c r="G45" s="9" t="s">
        <v>83</v>
      </c>
      <c r="H45" s="10">
        <v>29143.919999999998</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f t="shared" si="0"/>
        <v>0</v>
      </c>
      <c r="AI45" s="10">
        <f t="shared" si="1"/>
        <v>29143.919999999998</v>
      </c>
    </row>
    <row r="46" spans="1:35" x14ac:dyDescent="0.35">
      <c r="A46" s="9">
        <v>37</v>
      </c>
      <c r="B46" s="9" t="s">
        <v>132</v>
      </c>
      <c r="C46" s="9" t="s">
        <v>133</v>
      </c>
      <c r="D46" s="9" t="s">
        <v>124</v>
      </c>
      <c r="E46" s="9" t="s">
        <v>110</v>
      </c>
      <c r="F46" s="9" t="s">
        <v>134</v>
      </c>
      <c r="G46" s="9" t="s">
        <v>83</v>
      </c>
      <c r="H46" s="10">
        <v>52860.33</v>
      </c>
      <c r="I46" s="10">
        <v>0</v>
      </c>
      <c r="J46" s="10">
        <v>0</v>
      </c>
      <c r="K46" s="10">
        <v>7547.37</v>
      </c>
      <c r="L46" s="10">
        <v>7745.39</v>
      </c>
      <c r="M46" s="10">
        <v>8308.86</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f t="shared" si="0"/>
        <v>23601.620000000003</v>
      </c>
      <c r="AI46" s="10">
        <f t="shared" si="1"/>
        <v>29258.71</v>
      </c>
    </row>
    <row r="47" spans="1:35" x14ac:dyDescent="0.35">
      <c r="A47" s="9">
        <v>38</v>
      </c>
      <c r="B47" s="9" t="s">
        <v>135</v>
      </c>
      <c r="C47" s="9" t="s">
        <v>133</v>
      </c>
      <c r="D47" s="9" t="s">
        <v>136</v>
      </c>
      <c r="E47" s="9" t="s">
        <v>107</v>
      </c>
      <c r="F47" s="9" t="s">
        <v>137</v>
      </c>
      <c r="G47" s="9" t="s">
        <v>83</v>
      </c>
      <c r="H47" s="10">
        <v>53257.919999999998</v>
      </c>
      <c r="I47" s="10">
        <v>0</v>
      </c>
      <c r="J47" s="10">
        <v>0</v>
      </c>
      <c r="K47" s="10">
        <v>2228.58</v>
      </c>
      <c r="L47" s="10">
        <v>1142.3800000000001</v>
      </c>
      <c r="M47" s="10">
        <v>2947.87</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f t="shared" si="0"/>
        <v>6318.83</v>
      </c>
      <c r="AI47" s="10">
        <f t="shared" si="1"/>
        <v>46939.09</v>
      </c>
    </row>
    <row r="48" spans="1:35" x14ac:dyDescent="0.35">
      <c r="A48" s="9">
        <v>39</v>
      </c>
      <c r="B48" s="9" t="s">
        <v>138</v>
      </c>
      <c r="C48" s="9" t="s">
        <v>139</v>
      </c>
      <c r="D48" s="9" t="s">
        <v>140</v>
      </c>
      <c r="E48" s="9" t="s">
        <v>118</v>
      </c>
      <c r="F48" s="9" t="s">
        <v>141</v>
      </c>
      <c r="G48" s="9" t="s">
        <v>50</v>
      </c>
      <c r="H48" s="10">
        <v>45758.35</v>
      </c>
      <c r="I48" s="10">
        <v>0</v>
      </c>
      <c r="J48" s="10">
        <v>0</v>
      </c>
      <c r="K48" s="10">
        <v>0</v>
      </c>
      <c r="L48" s="10">
        <v>10342.77</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f t="shared" si="0"/>
        <v>10342.77</v>
      </c>
      <c r="AI48" s="10">
        <f t="shared" si="1"/>
        <v>35415.58</v>
      </c>
    </row>
    <row r="49" spans="1:35" x14ac:dyDescent="0.35">
      <c r="A49" s="9">
        <v>40</v>
      </c>
      <c r="B49" s="9" t="s">
        <v>142</v>
      </c>
      <c r="C49" s="9" t="s">
        <v>139</v>
      </c>
      <c r="D49" s="9" t="s">
        <v>140</v>
      </c>
      <c r="E49" s="9" t="s">
        <v>107</v>
      </c>
      <c r="F49" s="9" t="s">
        <v>143</v>
      </c>
      <c r="G49" s="9" t="s">
        <v>50</v>
      </c>
      <c r="H49" s="10">
        <v>63939.35</v>
      </c>
      <c r="I49" s="10">
        <v>0</v>
      </c>
      <c r="J49" s="10">
        <v>0</v>
      </c>
      <c r="K49" s="10">
        <v>2343.44</v>
      </c>
      <c r="L49" s="10">
        <v>2667.66</v>
      </c>
      <c r="M49" s="10">
        <v>5382.08</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f t="shared" si="0"/>
        <v>10393.18</v>
      </c>
      <c r="AI49" s="10">
        <f t="shared" si="1"/>
        <v>53546.17</v>
      </c>
    </row>
    <row r="50" spans="1:35" x14ac:dyDescent="0.35">
      <c r="A50" s="9">
        <v>41</v>
      </c>
      <c r="B50" s="9" t="s">
        <v>144</v>
      </c>
      <c r="C50" s="9" t="s">
        <v>123</v>
      </c>
      <c r="D50" s="9" t="s">
        <v>124</v>
      </c>
      <c r="E50" s="9" t="s">
        <v>145</v>
      </c>
      <c r="F50" s="9" t="s">
        <v>146</v>
      </c>
      <c r="G50" s="9" t="s">
        <v>83</v>
      </c>
      <c r="H50" s="10">
        <v>407394.44</v>
      </c>
      <c r="I50" s="10">
        <v>0</v>
      </c>
      <c r="J50" s="10">
        <v>0</v>
      </c>
      <c r="K50" s="10">
        <v>17685.939999999999</v>
      </c>
      <c r="L50" s="10">
        <v>22524.9</v>
      </c>
      <c r="M50" s="10">
        <v>22929.08</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f t="shared" si="0"/>
        <v>63139.92</v>
      </c>
      <c r="AI50" s="10">
        <f t="shared" si="1"/>
        <v>344254.52</v>
      </c>
    </row>
    <row r="51" spans="1:35" x14ac:dyDescent="0.35">
      <c r="A51" s="9">
        <v>42</v>
      </c>
      <c r="B51" s="9" t="s">
        <v>147</v>
      </c>
      <c r="C51" s="9" t="s">
        <v>123</v>
      </c>
      <c r="D51" s="9" t="s">
        <v>124</v>
      </c>
      <c r="E51" s="9" t="s">
        <v>145</v>
      </c>
      <c r="F51" s="9" t="s">
        <v>148</v>
      </c>
      <c r="G51" s="9" t="s">
        <v>83</v>
      </c>
      <c r="H51" s="10">
        <v>16295.78</v>
      </c>
      <c r="I51" s="10">
        <v>0</v>
      </c>
      <c r="J51" s="10">
        <v>0</v>
      </c>
      <c r="K51" s="10">
        <v>1036.6600000000001</v>
      </c>
      <c r="L51" s="10">
        <v>1302.1199999999999</v>
      </c>
      <c r="M51" s="10">
        <v>1280.72</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f t="shared" si="0"/>
        <v>3619.5</v>
      </c>
      <c r="AI51" s="10">
        <f t="shared" si="1"/>
        <v>12676.28</v>
      </c>
    </row>
    <row r="52" spans="1:35" x14ac:dyDescent="0.35">
      <c r="A52" s="9">
        <v>43</v>
      </c>
      <c r="B52" s="9" t="s">
        <v>149</v>
      </c>
      <c r="C52" s="9" t="s">
        <v>123</v>
      </c>
      <c r="D52" s="9" t="s">
        <v>124</v>
      </c>
      <c r="E52" s="9" t="s">
        <v>145</v>
      </c>
      <c r="F52" s="9" t="s">
        <v>150</v>
      </c>
      <c r="G52" s="9" t="s">
        <v>83</v>
      </c>
      <c r="H52" s="10">
        <v>25421.41</v>
      </c>
      <c r="I52" s="10">
        <v>0</v>
      </c>
      <c r="J52" s="10">
        <v>0</v>
      </c>
      <c r="K52" s="10">
        <v>1338.99</v>
      </c>
      <c r="L52" s="10">
        <v>1601.18</v>
      </c>
      <c r="M52" s="10">
        <v>1477.79</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f t="shared" si="0"/>
        <v>4417.96</v>
      </c>
      <c r="AI52" s="10">
        <f t="shared" si="1"/>
        <v>21003.45</v>
      </c>
    </row>
    <row r="53" spans="1:35" x14ac:dyDescent="0.35">
      <c r="A53" s="9">
        <v>44</v>
      </c>
      <c r="B53" s="9" t="s">
        <v>151</v>
      </c>
      <c r="C53" s="9" t="s">
        <v>123</v>
      </c>
      <c r="D53" s="9" t="s">
        <v>124</v>
      </c>
      <c r="E53" s="9" t="s">
        <v>145</v>
      </c>
      <c r="F53" s="9" t="s">
        <v>152</v>
      </c>
      <c r="G53" s="9" t="s">
        <v>83</v>
      </c>
      <c r="H53" s="10">
        <v>67899.070000000007</v>
      </c>
      <c r="I53" s="10">
        <v>0</v>
      </c>
      <c r="J53" s="10">
        <v>0</v>
      </c>
      <c r="K53" s="10">
        <v>2171.0500000000002</v>
      </c>
      <c r="L53" s="10">
        <v>2773.2</v>
      </c>
      <c r="M53" s="10">
        <v>2826.64</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f t="shared" si="0"/>
        <v>7770.8899999999994</v>
      </c>
      <c r="AI53" s="10">
        <f t="shared" si="1"/>
        <v>60128.180000000008</v>
      </c>
    </row>
    <row r="54" spans="1:35" x14ac:dyDescent="0.35">
      <c r="A54" s="9">
        <v>45</v>
      </c>
      <c r="B54" s="9" t="s">
        <v>153</v>
      </c>
      <c r="C54" s="9" t="s">
        <v>123</v>
      </c>
      <c r="D54" s="9" t="s">
        <v>124</v>
      </c>
      <c r="E54" s="9" t="s">
        <v>145</v>
      </c>
      <c r="F54" s="9" t="s">
        <v>154</v>
      </c>
      <c r="G54" s="9" t="s">
        <v>83</v>
      </c>
      <c r="H54" s="10">
        <v>2331909.33</v>
      </c>
      <c r="I54" s="10">
        <v>0</v>
      </c>
      <c r="J54" s="10">
        <v>0</v>
      </c>
      <c r="K54" s="10">
        <v>101344.34</v>
      </c>
      <c r="L54" s="10">
        <v>130748.17</v>
      </c>
      <c r="M54" s="10">
        <v>123222.89</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f t="shared" si="0"/>
        <v>355315.4</v>
      </c>
      <c r="AI54" s="10">
        <f t="shared" si="1"/>
        <v>1976593.9300000002</v>
      </c>
    </row>
    <row r="55" spans="1:35" x14ac:dyDescent="0.35">
      <c r="A55" s="9">
        <v>46</v>
      </c>
      <c r="B55" s="9" t="s">
        <v>155</v>
      </c>
      <c r="C55" s="9" t="s">
        <v>123</v>
      </c>
      <c r="D55" s="9" t="s">
        <v>124</v>
      </c>
      <c r="E55" s="9" t="s">
        <v>145</v>
      </c>
      <c r="F55" s="9" t="s">
        <v>156</v>
      </c>
      <c r="G55" s="9" t="s">
        <v>83</v>
      </c>
      <c r="H55" s="10">
        <v>93276.37</v>
      </c>
      <c r="I55" s="10">
        <v>0</v>
      </c>
      <c r="J55" s="10">
        <v>0</v>
      </c>
      <c r="K55" s="10">
        <v>5799.38</v>
      </c>
      <c r="L55" s="10">
        <v>7495.45</v>
      </c>
      <c r="M55" s="10">
        <v>7036.19</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f t="shared" si="0"/>
        <v>20331.02</v>
      </c>
      <c r="AI55" s="10">
        <f t="shared" si="1"/>
        <v>72945.349999999991</v>
      </c>
    </row>
    <row r="56" spans="1:35" x14ac:dyDescent="0.35">
      <c r="A56" s="9">
        <v>47</v>
      </c>
      <c r="B56" s="9" t="s">
        <v>157</v>
      </c>
      <c r="C56" s="9" t="s">
        <v>123</v>
      </c>
      <c r="D56" s="9" t="s">
        <v>124</v>
      </c>
      <c r="E56" s="9" t="s">
        <v>145</v>
      </c>
      <c r="F56" s="9" t="s">
        <v>158</v>
      </c>
      <c r="G56" s="9" t="s">
        <v>83</v>
      </c>
      <c r="H56" s="10">
        <v>145511.14000000001</v>
      </c>
      <c r="I56" s="10">
        <v>0</v>
      </c>
      <c r="J56" s="10">
        <v>0</v>
      </c>
      <c r="K56" s="10">
        <v>7531.84</v>
      </c>
      <c r="L56" s="10">
        <v>9330.56</v>
      </c>
      <c r="M56" s="10">
        <v>8004.36</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f t="shared" si="0"/>
        <v>24866.760000000002</v>
      </c>
      <c r="AI56" s="10">
        <f t="shared" si="1"/>
        <v>120644.38</v>
      </c>
    </row>
    <row r="57" spans="1:35" x14ac:dyDescent="0.35">
      <c r="A57" s="9">
        <v>48</v>
      </c>
      <c r="B57" s="9" t="s">
        <v>159</v>
      </c>
      <c r="C57" s="9" t="s">
        <v>123</v>
      </c>
      <c r="D57" s="9" t="s">
        <v>124</v>
      </c>
      <c r="E57" s="9" t="s">
        <v>145</v>
      </c>
      <c r="F57" s="9" t="s">
        <v>160</v>
      </c>
      <c r="G57" s="9" t="s">
        <v>83</v>
      </c>
      <c r="H57" s="10">
        <v>388651.55</v>
      </c>
      <c r="I57" s="10">
        <v>0</v>
      </c>
      <c r="J57" s="10">
        <v>0</v>
      </c>
      <c r="K57" s="10">
        <v>12483.02</v>
      </c>
      <c r="L57" s="10">
        <v>16102.57</v>
      </c>
      <c r="M57" s="10">
        <v>15245.46</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f t="shared" si="0"/>
        <v>43831.05</v>
      </c>
      <c r="AI57" s="10">
        <f t="shared" si="1"/>
        <v>344820.5</v>
      </c>
    </row>
    <row r="58" spans="1:35" x14ac:dyDescent="0.35">
      <c r="A58" s="9">
        <v>49</v>
      </c>
      <c r="B58" s="9" t="s">
        <v>161</v>
      </c>
      <c r="C58" s="9" t="s">
        <v>123</v>
      </c>
      <c r="D58" s="9" t="s">
        <v>124</v>
      </c>
      <c r="E58" s="9" t="s">
        <v>118</v>
      </c>
      <c r="F58" s="9" t="s">
        <v>162</v>
      </c>
      <c r="G58" s="9" t="s">
        <v>83</v>
      </c>
      <c r="H58" s="10">
        <v>71654.289999999994</v>
      </c>
      <c r="I58" s="10">
        <v>0</v>
      </c>
      <c r="J58" s="10">
        <v>0</v>
      </c>
      <c r="K58" s="10">
        <v>5072.7</v>
      </c>
      <c r="L58" s="10">
        <v>5882.36</v>
      </c>
      <c r="M58" s="10">
        <v>5041.6899999999996</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f t="shared" si="0"/>
        <v>15996.75</v>
      </c>
      <c r="AI58" s="10">
        <f t="shared" si="1"/>
        <v>55657.539999999994</v>
      </c>
    </row>
    <row r="59" spans="1:35" x14ac:dyDescent="0.35">
      <c r="A59" s="9">
        <v>50</v>
      </c>
      <c r="B59" s="9" t="s">
        <v>163</v>
      </c>
      <c r="C59" s="9" t="s">
        <v>133</v>
      </c>
      <c r="D59" s="9" t="s">
        <v>124</v>
      </c>
      <c r="E59" s="9" t="s">
        <v>145</v>
      </c>
      <c r="F59" s="9" t="s">
        <v>164</v>
      </c>
      <c r="G59" s="9" t="s">
        <v>83</v>
      </c>
      <c r="H59" s="10">
        <v>154481.99</v>
      </c>
      <c r="I59" s="10">
        <v>0</v>
      </c>
      <c r="J59" s="10">
        <v>0</v>
      </c>
      <c r="K59" s="10">
        <v>3123.74</v>
      </c>
      <c r="L59" s="10">
        <v>9205.32</v>
      </c>
      <c r="M59" s="10">
        <v>11490.68</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f t="shared" si="0"/>
        <v>23819.739999999998</v>
      </c>
      <c r="AI59" s="10">
        <f t="shared" si="1"/>
        <v>130662.25</v>
      </c>
    </row>
    <row r="60" spans="1:35" x14ac:dyDescent="0.35">
      <c r="A60" s="9">
        <v>51</v>
      </c>
      <c r="B60" s="9" t="s">
        <v>165</v>
      </c>
      <c r="C60" s="9" t="s">
        <v>133</v>
      </c>
      <c r="D60" s="9" t="s">
        <v>124</v>
      </c>
      <c r="E60" s="9" t="s">
        <v>145</v>
      </c>
      <c r="F60" s="9" t="s">
        <v>166</v>
      </c>
      <c r="G60" s="9" t="s">
        <v>83</v>
      </c>
      <c r="H60" s="10">
        <v>6179.28</v>
      </c>
      <c r="I60" s="10">
        <v>0</v>
      </c>
      <c r="J60" s="10">
        <v>0</v>
      </c>
      <c r="K60" s="10">
        <v>184.83</v>
      </c>
      <c r="L60" s="10">
        <v>544.91</v>
      </c>
      <c r="M60" s="10">
        <v>662.87</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f t="shared" si="0"/>
        <v>1392.6100000000001</v>
      </c>
      <c r="AI60" s="10">
        <f t="shared" si="1"/>
        <v>4786.67</v>
      </c>
    </row>
    <row r="61" spans="1:35" x14ac:dyDescent="0.35">
      <c r="A61" s="9">
        <v>52</v>
      </c>
      <c r="B61" s="9" t="s">
        <v>167</v>
      </c>
      <c r="C61" s="9" t="s">
        <v>133</v>
      </c>
      <c r="D61" s="9" t="s">
        <v>124</v>
      </c>
      <c r="E61" s="9" t="s">
        <v>145</v>
      </c>
      <c r="F61" s="9" t="s">
        <v>168</v>
      </c>
      <c r="G61" s="9" t="s">
        <v>83</v>
      </c>
      <c r="H61" s="10">
        <v>9639.68</v>
      </c>
      <c r="I61" s="10">
        <v>0</v>
      </c>
      <c r="J61" s="10">
        <v>0</v>
      </c>
      <c r="K61" s="10">
        <v>232.95</v>
      </c>
      <c r="L61" s="10">
        <v>620.04999999999995</v>
      </c>
      <c r="M61" s="10">
        <v>740.56</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f t="shared" si="0"/>
        <v>1593.56</v>
      </c>
      <c r="AI61" s="10">
        <f t="shared" si="1"/>
        <v>8046.1200000000008</v>
      </c>
    </row>
    <row r="62" spans="1:35" x14ac:dyDescent="0.35">
      <c r="A62" s="9">
        <v>53</v>
      </c>
      <c r="B62" s="9" t="s">
        <v>169</v>
      </c>
      <c r="C62" s="9" t="s">
        <v>133</v>
      </c>
      <c r="D62" s="9" t="s">
        <v>124</v>
      </c>
      <c r="E62" s="9" t="s">
        <v>145</v>
      </c>
      <c r="F62" s="9" t="s">
        <v>170</v>
      </c>
      <c r="G62" s="9" t="s">
        <v>83</v>
      </c>
      <c r="H62" s="10">
        <v>25747</v>
      </c>
      <c r="I62" s="10">
        <v>0</v>
      </c>
      <c r="J62" s="10">
        <v>0</v>
      </c>
      <c r="K62" s="10">
        <v>383.75</v>
      </c>
      <c r="L62" s="10">
        <v>1135.43</v>
      </c>
      <c r="M62" s="10">
        <v>1418.45</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f t="shared" si="0"/>
        <v>2937.63</v>
      </c>
      <c r="AI62" s="10">
        <f t="shared" si="1"/>
        <v>22809.37</v>
      </c>
    </row>
    <row r="63" spans="1:35" x14ac:dyDescent="0.35">
      <c r="A63" s="9">
        <v>54</v>
      </c>
      <c r="B63" s="9" t="s">
        <v>171</v>
      </c>
      <c r="C63" s="9" t="s">
        <v>139</v>
      </c>
      <c r="D63" s="9" t="s">
        <v>140</v>
      </c>
      <c r="E63" s="9" t="s">
        <v>110</v>
      </c>
      <c r="F63" s="9" t="s">
        <v>172</v>
      </c>
      <c r="G63" s="9" t="s">
        <v>83</v>
      </c>
      <c r="H63" s="10">
        <v>23876.84</v>
      </c>
      <c r="I63" s="10">
        <v>0</v>
      </c>
      <c r="J63" s="10">
        <v>0</v>
      </c>
      <c r="K63" s="10">
        <v>2120.7199999999998</v>
      </c>
      <c r="L63" s="10">
        <v>2226.83</v>
      </c>
      <c r="M63" s="10">
        <v>2252.54</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f t="shared" si="0"/>
        <v>6600.0899999999992</v>
      </c>
      <c r="AI63" s="10">
        <f t="shared" si="1"/>
        <v>17276.75</v>
      </c>
    </row>
    <row r="64" spans="1:35" x14ac:dyDescent="0.35">
      <c r="A64" s="9">
        <v>55</v>
      </c>
      <c r="B64" s="9" t="s">
        <v>173</v>
      </c>
      <c r="C64" s="9" t="s">
        <v>123</v>
      </c>
      <c r="D64" s="9" t="s">
        <v>124</v>
      </c>
      <c r="E64" s="9" t="s">
        <v>118</v>
      </c>
      <c r="F64" s="9" t="s">
        <v>174</v>
      </c>
      <c r="G64" s="9" t="s">
        <v>83</v>
      </c>
      <c r="H64" s="10">
        <v>22391.97</v>
      </c>
      <c r="I64" s="10">
        <v>0</v>
      </c>
      <c r="J64" s="10">
        <v>0</v>
      </c>
      <c r="K64" s="10">
        <v>3875.09</v>
      </c>
      <c r="L64" s="10">
        <v>0</v>
      </c>
      <c r="M64" s="10">
        <v>3674.77</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f t="shared" si="0"/>
        <v>7549.8600000000006</v>
      </c>
      <c r="AI64" s="10">
        <f t="shared" si="1"/>
        <v>14842.11</v>
      </c>
    </row>
    <row r="65" spans="1:35" x14ac:dyDescent="0.35">
      <c r="A65" s="9">
        <v>56</v>
      </c>
      <c r="B65" s="9" t="s">
        <v>175</v>
      </c>
      <c r="C65" s="9" t="s">
        <v>139</v>
      </c>
      <c r="D65" s="9" t="s">
        <v>140</v>
      </c>
      <c r="E65" s="9" t="s">
        <v>110</v>
      </c>
      <c r="F65" s="9" t="s">
        <v>176</v>
      </c>
      <c r="G65" s="9" t="s">
        <v>83</v>
      </c>
      <c r="H65" s="10">
        <v>79569.39</v>
      </c>
      <c r="I65" s="10">
        <v>0</v>
      </c>
      <c r="J65" s="10">
        <v>0</v>
      </c>
      <c r="K65" s="10">
        <v>6112.41</v>
      </c>
      <c r="L65" s="10">
        <v>7172.99</v>
      </c>
      <c r="M65" s="10">
        <v>7595.36</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f t="shared" si="0"/>
        <v>20880.759999999998</v>
      </c>
      <c r="AI65" s="10">
        <f t="shared" si="1"/>
        <v>58688.630000000005</v>
      </c>
    </row>
    <row r="66" spans="1:35" x14ac:dyDescent="0.35">
      <c r="A66" s="9">
        <v>57</v>
      </c>
      <c r="B66" s="9" t="s">
        <v>177</v>
      </c>
      <c r="C66" s="9" t="s">
        <v>123</v>
      </c>
      <c r="D66" s="9" t="s">
        <v>128</v>
      </c>
      <c r="E66" s="9" t="s">
        <v>178</v>
      </c>
      <c r="F66" s="9" t="s">
        <v>179</v>
      </c>
      <c r="G66" s="9" t="s">
        <v>83</v>
      </c>
      <c r="H66" s="10">
        <v>191870.45</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f t="shared" si="0"/>
        <v>0</v>
      </c>
      <c r="AI66" s="10">
        <f t="shared" si="1"/>
        <v>191870.45</v>
      </c>
    </row>
    <row r="67" spans="1:35" x14ac:dyDescent="0.35">
      <c r="A67" s="9">
        <v>58</v>
      </c>
      <c r="B67" s="9" t="s">
        <v>180</v>
      </c>
      <c r="C67" s="9" t="s">
        <v>133</v>
      </c>
      <c r="D67" s="9" t="s">
        <v>136</v>
      </c>
      <c r="E67" s="9" t="s">
        <v>178</v>
      </c>
      <c r="F67" s="9" t="s">
        <v>181</v>
      </c>
      <c r="G67" s="9" t="s">
        <v>83</v>
      </c>
      <c r="H67" s="10">
        <v>10237.73</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f t="shared" si="0"/>
        <v>0</v>
      </c>
      <c r="AI67" s="10">
        <f t="shared" si="1"/>
        <v>10237.73</v>
      </c>
    </row>
    <row r="68" spans="1:35" x14ac:dyDescent="0.35">
      <c r="A68" s="9">
        <v>59</v>
      </c>
      <c r="B68" s="9" t="s">
        <v>182</v>
      </c>
      <c r="C68" s="9" t="s">
        <v>123</v>
      </c>
      <c r="D68" s="9" t="s">
        <v>183</v>
      </c>
      <c r="E68" s="9" t="s">
        <v>118</v>
      </c>
      <c r="F68" s="9" t="s">
        <v>184</v>
      </c>
      <c r="G68" s="9" t="s">
        <v>50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f t="shared" si="0"/>
        <v>0</v>
      </c>
      <c r="AI68" s="10">
        <f t="shared" si="1"/>
        <v>0</v>
      </c>
    </row>
    <row r="69" spans="1:35" x14ac:dyDescent="0.35">
      <c r="A69" s="9">
        <v>60</v>
      </c>
      <c r="B69" s="9" t="s">
        <v>185</v>
      </c>
      <c r="C69" s="9" t="s">
        <v>123</v>
      </c>
      <c r="D69" s="9" t="s">
        <v>124</v>
      </c>
      <c r="E69" s="9" t="s">
        <v>186</v>
      </c>
      <c r="F69" s="9" t="s">
        <v>187</v>
      </c>
      <c r="G69" s="9" t="s">
        <v>83</v>
      </c>
      <c r="H69" s="10">
        <v>56688.75</v>
      </c>
      <c r="I69" s="10">
        <v>0</v>
      </c>
      <c r="J69" s="10">
        <v>0</v>
      </c>
      <c r="K69" s="10">
        <v>2992.04</v>
      </c>
      <c r="L69" s="10">
        <v>2860.63</v>
      </c>
      <c r="M69" s="10">
        <v>2861.12</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f t="shared" si="0"/>
        <v>8713.7900000000009</v>
      </c>
      <c r="AI69" s="10">
        <f t="shared" si="1"/>
        <v>47974.96</v>
      </c>
    </row>
    <row r="70" spans="1:35" x14ac:dyDescent="0.35">
      <c r="A70" s="9">
        <v>61</v>
      </c>
      <c r="B70" s="9" t="s">
        <v>188</v>
      </c>
      <c r="C70" s="9" t="s">
        <v>139</v>
      </c>
      <c r="D70" s="9" t="s">
        <v>189</v>
      </c>
      <c r="E70" s="9" t="s">
        <v>118</v>
      </c>
      <c r="F70" s="9" t="s">
        <v>190</v>
      </c>
      <c r="G70" s="9" t="s">
        <v>83</v>
      </c>
      <c r="H70" s="10">
        <v>16348.1</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f t="shared" si="0"/>
        <v>0</v>
      </c>
      <c r="AI70" s="10">
        <f t="shared" si="1"/>
        <v>16348.1</v>
      </c>
    </row>
    <row r="71" spans="1:35" x14ac:dyDescent="0.35">
      <c r="A71" s="9">
        <v>62</v>
      </c>
      <c r="B71" s="9" t="s">
        <v>191</v>
      </c>
      <c r="C71" s="9" t="s">
        <v>133</v>
      </c>
      <c r="D71" s="9" t="s">
        <v>136</v>
      </c>
      <c r="E71" s="9" t="s">
        <v>118</v>
      </c>
      <c r="F71" s="9" t="s">
        <v>192</v>
      </c>
      <c r="G71" s="9" t="s">
        <v>50</v>
      </c>
      <c r="H71" s="10">
        <v>5962.86</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f t="shared" si="0"/>
        <v>0</v>
      </c>
      <c r="AI71" s="10">
        <f t="shared" si="1"/>
        <v>5962.86</v>
      </c>
    </row>
    <row r="72" spans="1:35" x14ac:dyDescent="0.35">
      <c r="A72" s="9">
        <v>63</v>
      </c>
      <c r="B72" s="9" t="s">
        <v>193</v>
      </c>
      <c r="C72" s="9" t="s">
        <v>139</v>
      </c>
      <c r="D72" s="9" t="s">
        <v>140</v>
      </c>
      <c r="E72" s="9" t="s">
        <v>186</v>
      </c>
      <c r="F72" s="9" t="s">
        <v>194</v>
      </c>
      <c r="G72" s="9" t="s">
        <v>83</v>
      </c>
      <c r="H72" s="10">
        <v>2558.42</v>
      </c>
      <c r="I72" s="10">
        <v>0</v>
      </c>
      <c r="J72" s="10">
        <v>0</v>
      </c>
      <c r="K72" s="10">
        <v>5.95</v>
      </c>
      <c r="L72" s="10">
        <v>2.97</v>
      </c>
      <c r="M72" s="10">
        <v>10.43</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f t="shared" si="0"/>
        <v>19.350000000000001</v>
      </c>
      <c r="AI72" s="10">
        <f t="shared" si="1"/>
        <v>2539.0700000000002</v>
      </c>
    </row>
    <row r="73" spans="1:35" x14ac:dyDescent="0.35">
      <c r="A73" s="9">
        <v>64</v>
      </c>
      <c r="B73" s="9" t="s">
        <v>195</v>
      </c>
      <c r="C73" s="9" t="s">
        <v>123</v>
      </c>
      <c r="D73" s="9" t="s">
        <v>124</v>
      </c>
      <c r="E73" s="9" t="s">
        <v>110</v>
      </c>
      <c r="F73" s="9" t="s">
        <v>196</v>
      </c>
      <c r="G73" s="9" t="s">
        <v>83</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f t="shared" si="0"/>
        <v>0</v>
      </c>
      <c r="AI73" s="10">
        <f t="shared" si="1"/>
        <v>0</v>
      </c>
    </row>
    <row r="74" spans="1:35" x14ac:dyDescent="0.35">
      <c r="A74" s="9">
        <v>65</v>
      </c>
      <c r="B74" s="9" t="s">
        <v>197</v>
      </c>
      <c r="C74" s="9" t="s">
        <v>123</v>
      </c>
      <c r="D74" s="9" t="s">
        <v>124</v>
      </c>
      <c r="E74" s="9" t="s">
        <v>118</v>
      </c>
      <c r="F74" s="9" t="s">
        <v>198</v>
      </c>
      <c r="G74" s="9" t="s">
        <v>41</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f t="shared" si="0"/>
        <v>0</v>
      </c>
      <c r="AI74" s="10">
        <f t="shared" si="1"/>
        <v>0</v>
      </c>
    </row>
    <row r="75" spans="1:35" x14ac:dyDescent="0.35">
      <c r="A75" s="9">
        <v>66</v>
      </c>
      <c r="B75" s="9" t="s">
        <v>199</v>
      </c>
      <c r="C75" s="9" t="s">
        <v>139</v>
      </c>
      <c r="D75" s="9" t="s">
        <v>140</v>
      </c>
      <c r="E75" s="9" t="s">
        <v>186</v>
      </c>
      <c r="F75" s="9" t="s">
        <v>200</v>
      </c>
      <c r="G75" s="9" t="s">
        <v>83</v>
      </c>
      <c r="H75" s="10">
        <v>55575.53</v>
      </c>
      <c r="I75" s="10">
        <v>0</v>
      </c>
      <c r="J75" s="10">
        <v>0</v>
      </c>
      <c r="K75" s="10">
        <v>714.46</v>
      </c>
      <c r="L75" s="10">
        <v>510.41</v>
      </c>
      <c r="M75" s="10">
        <v>855.88</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f t="shared" ref="AH75:AH138" si="2">SUM(I75:AG75)</f>
        <v>2080.75</v>
      </c>
      <c r="AI75" s="10">
        <f t="shared" ref="AI75:AI138" si="3">H75-AH75</f>
        <v>53494.78</v>
      </c>
    </row>
    <row r="76" spans="1:35" x14ac:dyDescent="0.35">
      <c r="A76" s="9">
        <v>67</v>
      </c>
      <c r="B76" s="9" t="s">
        <v>201</v>
      </c>
      <c r="C76" s="9" t="s">
        <v>123</v>
      </c>
      <c r="D76" s="9" t="s">
        <v>183</v>
      </c>
      <c r="E76" s="9" t="s">
        <v>110</v>
      </c>
      <c r="F76" s="9" t="s">
        <v>202</v>
      </c>
      <c r="G76" s="9" t="s">
        <v>83</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f t="shared" si="2"/>
        <v>0</v>
      </c>
      <c r="AI76" s="10">
        <f t="shared" si="3"/>
        <v>0</v>
      </c>
    </row>
    <row r="77" spans="1:35" x14ac:dyDescent="0.35">
      <c r="A77" s="9">
        <v>68</v>
      </c>
      <c r="B77" s="9" t="s">
        <v>203</v>
      </c>
      <c r="C77" s="9" t="s">
        <v>139</v>
      </c>
      <c r="D77" s="9" t="s">
        <v>140</v>
      </c>
      <c r="E77" s="9" t="s">
        <v>110</v>
      </c>
      <c r="F77" s="9" t="s">
        <v>204</v>
      </c>
      <c r="G77" s="9" t="s">
        <v>83</v>
      </c>
      <c r="H77" s="10">
        <v>6451.52</v>
      </c>
      <c r="I77" s="10">
        <v>0</v>
      </c>
      <c r="J77" s="10">
        <v>0</v>
      </c>
      <c r="K77" s="10">
        <v>326.69</v>
      </c>
      <c r="L77" s="10">
        <v>296.33</v>
      </c>
      <c r="M77" s="10">
        <v>266.62</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f t="shared" si="2"/>
        <v>889.64</v>
      </c>
      <c r="AI77" s="10">
        <f t="shared" si="3"/>
        <v>5561.88</v>
      </c>
    </row>
    <row r="78" spans="1:35" x14ac:dyDescent="0.35">
      <c r="A78" s="9">
        <v>69</v>
      </c>
      <c r="B78" s="9" t="s">
        <v>205</v>
      </c>
      <c r="C78" s="9" t="s">
        <v>139</v>
      </c>
      <c r="D78" s="9" t="s">
        <v>140</v>
      </c>
      <c r="E78" s="9" t="s">
        <v>110</v>
      </c>
      <c r="F78" s="9" t="s">
        <v>206</v>
      </c>
      <c r="G78" s="9" t="s">
        <v>83</v>
      </c>
      <c r="H78" s="10">
        <v>3913.22</v>
      </c>
      <c r="I78" s="10">
        <v>0</v>
      </c>
      <c r="J78" s="10">
        <v>0</v>
      </c>
      <c r="K78" s="10">
        <v>266.89999999999998</v>
      </c>
      <c r="L78" s="10">
        <v>296.01</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f t="shared" si="2"/>
        <v>562.91</v>
      </c>
      <c r="AI78" s="10">
        <f t="shared" si="3"/>
        <v>3350.31</v>
      </c>
    </row>
    <row r="79" spans="1:35" x14ac:dyDescent="0.35">
      <c r="A79" s="9">
        <v>70</v>
      </c>
      <c r="B79" s="9" t="s">
        <v>207</v>
      </c>
      <c r="C79" s="9" t="s">
        <v>133</v>
      </c>
      <c r="D79" s="9" t="s">
        <v>208</v>
      </c>
      <c r="E79" s="9" t="s">
        <v>75</v>
      </c>
      <c r="F79" s="9" t="s">
        <v>209</v>
      </c>
      <c r="G79" s="9" t="s">
        <v>83</v>
      </c>
      <c r="H79" s="10">
        <v>16667.13</v>
      </c>
      <c r="I79" s="10">
        <v>0</v>
      </c>
      <c r="J79" s="10">
        <v>0</v>
      </c>
      <c r="K79" s="10">
        <v>856.13</v>
      </c>
      <c r="L79" s="10">
        <v>664.17</v>
      </c>
      <c r="M79" s="10">
        <v>775.11</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f t="shared" si="2"/>
        <v>2295.41</v>
      </c>
      <c r="AI79" s="10">
        <f t="shared" si="3"/>
        <v>14371.720000000001</v>
      </c>
    </row>
    <row r="80" spans="1:35" x14ac:dyDescent="0.35">
      <c r="A80" s="9">
        <v>71</v>
      </c>
      <c r="B80" s="9" t="s">
        <v>210</v>
      </c>
      <c r="C80" s="9" t="s">
        <v>133</v>
      </c>
      <c r="D80" s="9" t="s">
        <v>136</v>
      </c>
      <c r="E80" s="9" t="s">
        <v>118</v>
      </c>
      <c r="F80" s="9" t="s">
        <v>211</v>
      </c>
      <c r="G80" s="9" t="s">
        <v>83</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f t="shared" si="2"/>
        <v>0</v>
      </c>
      <c r="AI80" s="10">
        <f t="shared" si="3"/>
        <v>0</v>
      </c>
    </row>
    <row r="81" spans="1:35" x14ac:dyDescent="0.35">
      <c r="A81" s="9">
        <v>72</v>
      </c>
      <c r="B81" s="9" t="s">
        <v>212</v>
      </c>
      <c r="C81" s="9" t="s">
        <v>133</v>
      </c>
      <c r="D81" s="9" t="s">
        <v>124</v>
      </c>
      <c r="E81" s="9" t="s">
        <v>213</v>
      </c>
      <c r="F81" s="9" t="s">
        <v>214</v>
      </c>
      <c r="G81" s="9" t="s">
        <v>41</v>
      </c>
      <c r="H81" s="10">
        <v>32831.699999999997</v>
      </c>
      <c r="I81" s="10">
        <v>4367.4399999999996</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f t="shared" si="2"/>
        <v>4367.4399999999996</v>
      </c>
      <c r="AI81" s="10">
        <f t="shared" si="3"/>
        <v>28464.26</v>
      </c>
    </row>
    <row r="82" spans="1:35" x14ac:dyDescent="0.35">
      <c r="A82" s="9">
        <v>73</v>
      </c>
      <c r="B82" s="9" t="s">
        <v>215</v>
      </c>
      <c r="C82" s="9" t="s">
        <v>123</v>
      </c>
      <c r="D82" s="9" t="s">
        <v>216</v>
      </c>
      <c r="E82" s="9" t="s">
        <v>118</v>
      </c>
      <c r="F82" s="9" t="s">
        <v>217</v>
      </c>
      <c r="G82" s="9" t="s">
        <v>83</v>
      </c>
      <c r="H82" s="10">
        <v>17590.21</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f t="shared" si="2"/>
        <v>0</v>
      </c>
      <c r="AI82" s="10">
        <f t="shared" si="3"/>
        <v>17590.21</v>
      </c>
    </row>
    <row r="83" spans="1:35" x14ac:dyDescent="0.35">
      <c r="A83" s="9">
        <v>74</v>
      </c>
      <c r="B83" s="9" t="s">
        <v>218</v>
      </c>
      <c r="C83" s="9" t="s">
        <v>123</v>
      </c>
      <c r="D83" s="9" t="s">
        <v>216</v>
      </c>
      <c r="E83" s="9" t="s">
        <v>110</v>
      </c>
      <c r="F83" s="9" t="s">
        <v>219</v>
      </c>
      <c r="G83" s="9" t="s">
        <v>83</v>
      </c>
      <c r="H83" s="10">
        <v>3188.62</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f t="shared" si="2"/>
        <v>0</v>
      </c>
      <c r="AI83" s="10">
        <f t="shared" si="3"/>
        <v>3188.62</v>
      </c>
    </row>
    <row r="84" spans="1:35" x14ac:dyDescent="0.35">
      <c r="A84" s="9">
        <v>75</v>
      </c>
      <c r="B84" s="9" t="s">
        <v>220</v>
      </c>
      <c r="C84" s="9" t="s">
        <v>133</v>
      </c>
      <c r="D84" s="9" t="s">
        <v>124</v>
      </c>
      <c r="E84" s="9" t="s">
        <v>110</v>
      </c>
      <c r="F84" s="9" t="s">
        <v>221</v>
      </c>
      <c r="G84" s="9" t="s">
        <v>41</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f t="shared" si="2"/>
        <v>0</v>
      </c>
      <c r="AI84" s="10">
        <f t="shared" si="3"/>
        <v>0</v>
      </c>
    </row>
    <row r="85" spans="1:35" x14ac:dyDescent="0.35">
      <c r="A85" s="9">
        <v>76</v>
      </c>
      <c r="B85" s="9" t="s">
        <v>222</v>
      </c>
      <c r="C85" s="9" t="s">
        <v>133</v>
      </c>
      <c r="D85" s="9" t="s">
        <v>124</v>
      </c>
      <c r="E85" s="9" t="s">
        <v>110</v>
      </c>
      <c r="F85" s="9" t="s">
        <v>223</v>
      </c>
      <c r="G85" s="9" t="s">
        <v>41</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c r="AA85" s="10">
        <v>0</v>
      </c>
      <c r="AB85" s="10">
        <v>0</v>
      </c>
      <c r="AC85" s="10">
        <v>0</v>
      </c>
      <c r="AD85" s="10">
        <v>0</v>
      </c>
      <c r="AE85" s="10">
        <v>0</v>
      </c>
      <c r="AF85" s="10">
        <v>0</v>
      </c>
      <c r="AG85" s="10">
        <v>0</v>
      </c>
      <c r="AH85" s="10">
        <f t="shared" si="2"/>
        <v>0</v>
      </c>
      <c r="AI85" s="10">
        <f t="shared" si="3"/>
        <v>0</v>
      </c>
    </row>
    <row r="86" spans="1:35" x14ac:dyDescent="0.35">
      <c r="A86" s="9">
        <v>77</v>
      </c>
      <c r="B86" s="9" t="s">
        <v>224</v>
      </c>
      <c r="C86" s="9" t="s">
        <v>225</v>
      </c>
      <c r="D86" s="9" t="s">
        <v>226</v>
      </c>
      <c r="E86" s="9" t="s">
        <v>110</v>
      </c>
      <c r="F86" s="9" t="s">
        <v>227</v>
      </c>
      <c r="G86" s="9" t="s">
        <v>83</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f t="shared" si="2"/>
        <v>0</v>
      </c>
      <c r="AI86" s="10">
        <f t="shared" si="3"/>
        <v>0</v>
      </c>
    </row>
    <row r="87" spans="1:35" x14ac:dyDescent="0.35">
      <c r="A87" s="9">
        <v>78</v>
      </c>
      <c r="B87" s="9" t="s">
        <v>228</v>
      </c>
      <c r="C87" s="9" t="s">
        <v>225</v>
      </c>
      <c r="D87" s="9" t="s">
        <v>229</v>
      </c>
      <c r="E87" s="9" t="s">
        <v>110</v>
      </c>
      <c r="F87" s="9" t="s">
        <v>230</v>
      </c>
      <c r="G87" s="9" t="s">
        <v>83</v>
      </c>
      <c r="H87" s="10">
        <v>15513.36</v>
      </c>
      <c r="I87" s="10">
        <v>0</v>
      </c>
      <c r="J87" s="10">
        <v>0</v>
      </c>
      <c r="K87" s="10">
        <v>1488.4</v>
      </c>
      <c r="L87" s="10">
        <v>1737.76</v>
      </c>
      <c r="M87" s="10">
        <v>0</v>
      </c>
      <c r="N87" s="10">
        <v>0</v>
      </c>
      <c r="O87" s="10">
        <v>0</v>
      </c>
      <c r="P87" s="10">
        <v>0</v>
      </c>
      <c r="Q87" s="10">
        <v>0</v>
      </c>
      <c r="R87" s="10">
        <v>0</v>
      </c>
      <c r="S87" s="10">
        <v>0</v>
      </c>
      <c r="T87" s="10">
        <v>0</v>
      </c>
      <c r="U87" s="10">
        <v>0</v>
      </c>
      <c r="V87" s="10">
        <v>0</v>
      </c>
      <c r="W87" s="10">
        <v>0</v>
      </c>
      <c r="X87" s="10">
        <v>0</v>
      </c>
      <c r="Y87" s="10">
        <v>0</v>
      </c>
      <c r="Z87" s="10">
        <v>0</v>
      </c>
      <c r="AA87" s="10">
        <v>0</v>
      </c>
      <c r="AB87" s="10">
        <v>0</v>
      </c>
      <c r="AC87" s="10">
        <v>0</v>
      </c>
      <c r="AD87" s="10">
        <v>0</v>
      </c>
      <c r="AE87" s="10">
        <v>0</v>
      </c>
      <c r="AF87" s="10">
        <v>0</v>
      </c>
      <c r="AG87" s="10">
        <v>0</v>
      </c>
      <c r="AH87" s="10">
        <f t="shared" si="2"/>
        <v>3226.16</v>
      </c>
      <c r="AI87" s="10">
        <f t="shared" si="3"/>
        <v>12287.2</v>
      </c>
    </row>
    <row r="88" spans="1:35" x14ac:dyDescent="0.35">
      <c r="A88" s="9">
        <v>79</v>
      </c>
      <c r="B88" s="9" t="s">
        <v>231</v>
      </c>
      <c r="C88" s="9" t="s">
        <v>225</v>
      </c>
      <c r="D88" s="9" t="s">
        <v>232</v>
      </c>
      <c r="E88" s="9" t="s">
        <v>118</v>
      </c>
      <c r="F88" s="9" t="s">
        <v>233</v>
      </c>
      <c r="G88" s="9" t="s">
        <v>41</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f t="shared" si="2"/>
        <v>0</v>
      </c>
      <c r="AI88" s="10">
        <f t="shared" si="3"/>
        <v>0</v>
      </c>
    </row>
    <row r="89" spans="1:35" x14ac:dyDescent="0.35">
      <c r="A89" s="9">
        <v>80</v>
      </c>
      <c r="B89" s="9" t="s">
        <v>234</v>
      </c>
      <c r="C89" s="9" t="s">
        <v>225</v>
      </c>
      <c r="D89" s="9" t="s">
        <v>124</v>
      </c>
      <c r="E89" s="9" t="s">
        <v>110</v>
      </c>
      <c r="F89" s="9" t="s">
        <v>235</v>
      </c>
      <c r="G89" s="9" t="s">
        <v>83</v>
      </c>
      <c r="H89" s="10">
        <v>8857.5499999999993</v>
      </c>
      <c r="I89" s="10">
        <v>0</v>
      </c>
      <c r="J89" s="10">
        <v>0</v>
      </c>
      <c r="K89" s="10">
        <v>685.8</v>
      </c>
      <c r="L89" s="10">
        <v>1096.74</v>
      </c>
      <c r="M89" s="10">
        <v>262.88</v>
      </c>
      <c r="N89" s="10">
        <v>0</v>
      </c>
      <c r="O89" s="10">
        <v>0</v>
      </c>
      <c r="P89" s="10">
        <v>0</v>
      </c>
      <c r="Q89" s="10">
        <v>0</v>
      </c>
      <c r="R89" s="10">
        <v>0</v>
      </c>
      <c r="S89" s="10">
        <v>0</v>
      </c>
      <c r="T89" s="10">
        <v>0</v>
      </c>
      <c r="U89" s="10">
        <v>0</v>
      </c>
      <c r="V89" s="10">
        <v>0</v>
      </c>
      <c r="W89" s="10">
        <v>0</v>
      </c>
      <c r="X89" s="10">
        <v>0</v>
      </c>
      <c r="Y89" s="10">
        <v>0</v>
      </c>
      <c r="Z89" s="10">
        <v>0</v>
      </c>
      <c r="AA89" s="10">
        <v>0</v>
      </c>
      <c r="AB89" s="10">
        <v>0</v>
      </c>
      <c r="AC89" s="10">
        <v>0</v>
      </c>
      <c r="AD89" s="10">
        <v>0</v>
      </c>
      <c r="AE89" s="10">
        <v>0</v>
      </c>
      <c r="AF89" s="10">
        <v>0</v>
      </c>
      <c r="AG89" s="10">
        <v>0</v>
      </c>
      <c r="AH89" s="10">
        <f t="shared" si="2"/>
        <v>2045.42</v>
      </c>
      <c r="AI89" s="10">
        <f t="shared" si="3"/>
        <v>6812.1299999999992</v>
      </c>
    </row>
    <row r="90" spans="1:35" x14ac:dyDescent="0.35">
      <c r="A90" s="9">
        <v>81</v>
      </c>
      <c r="B90" s="9" t="s">
        <v>236</v>
      </c>
      <c r="C90" s="9" t="s">
        <v>225</v>
      </c>
      <c r="D90" s="9" t="s">
        <v>226</v>
      </c>
      <c r="E90" s="9" t="s">
        <v>110</v>
      </c>
      <c r="F90" s="9" t="s">
        <v>237</v>
      </c>
      <c r="G90" s="9" t="s">
        <v>67</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f t="shared" si="2"/>
        <v>0</v>
      </c>
      <c r="AI90" s="10">
        <f t="shared" si="3"/>
        <v>0</v>
      </c>
    </row>
    <row r="91" spans="1:35" x14ac:dyDescent="0.35">
      <c r="A91" s="9">
        <v>82</v>
      </c>
      <c r="B91" s="9" t="s">
        <v>238</v>
      </c>
      <c r="C91" s="9" t="s">
        <v>225</v>
      </c>
      <c r="D91" s="9" t="s">
        <v>232</v>
      </c>
      <c r="E91" s="9" t="s">
        <v>110</v>
      </c>
      <c r="F91" s="9" t="s">
        <v>239</v>
      </c>
      <c r="G91" s="9" t="s">
        <v>83</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c r="AA91" s="10">
        <v>0</v>
      </c>
      <c r="AB91" s="10">
        <v>0</v>
      </c>
      <c r="AC91" s="10">
        <v>0</v>
      </c>
      <c r="AD91" s="10">
        <v>0</v>
      </c>
      <c r="AE91" s="10">
        <v>0</v>
      </c>
      <c r="AF91" s="10">
        <v>0</v>
      </c>
      <c r="AG91" s="10">
        <v>0</v>
      </c>
      <c r="AH91" s="10">
        <f t="shared" si="2"/>
        <v>0</v>
      </c>
      <c r="AI91" s="10">
        <f t="shared" si="3"/>
        <v>0</v>
      </c>
    </row>
    <row r="92" spans="1:35" x14ac:dyDescent="0.35">
      <c r="A92" s="9">
        <v>83</v>
      </c>
      <c r="B92" s="9" t="s">
        <v>240</v>
      </c>
      <c r="C92" s="9" t="s">
        <v>225</v>
      </c>
      <c r="D92" s="9" t="s">
        <v>226</v>
      </c>
      <c r="E92" s="9" t="s">
        <v>213</v>
      </c>
      <c r="F92" s="9" t="s">
        <v>241</v>
      </c>
      <c r="G92" s="9" t="s">
        <v>41</v>
      </c>
      <c r="H92" s="10">
        <v>0</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f t="shared" si="2"/>
        <v>0</v>
      </c>
      <c r="AI92" s="10">
        <f t="shared" si="3"/>
        <v>0</v>
      </c>
    </row>
    <row r="93" spans="1:35" x14ac:dyDescent="0.35">
      <c r="A93" s="9">
        <v>84</v>
      </c>
      <c r="B93" s="9" t="s">
        <v>242</v>
      </c>
      <c r="C93" s="9" t="s">
        <v>225</v>
      </c>
      <c r="D93" s="9" t="s">
        <v>226</v>
      </c>
      <c r="E93" s="9" t="s">
        <v>110</v>
      </c>
      <c r="F93" s="9" t="s">
        <v>243</v>
      </c>
      <c r="G93" s="9" t="s">
        <v>41</v>
      </c>
      <c r="H93" s="10">
        <v>0</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c r="AA93" s="10">
        <v>0</v>
      </c>
      <c r="AB93" s="10">
        <v>0</v>
      </c>
      <c r="AC93" s="10">
        <v>0</v>
      </c>
      <c r="AD93" s="10">
        <v>0</v>
      </c>
      <c r="AE93" s="10">
        <v>0</v>
      </c>
      <c r="AF93" s="10">
        <v>0</v>
      </c>
      <c r="AG93" s="10">
        <v>0</v>
      </c>
      <c r="AH93" s="10">
        <f t="shared" si="2"/>
        <v>0</v>
      </c>
      <c r="AI93" s="10">
        <f t="shared" si="3"/>
        <v>0</v>
      </c>
    </row>
    <row r="94" spans="1:35" x14ac:dyDescent="0.35">
      <c r="A94" s="9">
        <v>85</v>
      </c>
      <c r="B94" s="9" t="s">
        <v>244</v>
      </c>
      <c r="C94" s="9" t="s">
        <v>225</v>
      </c>
      <c r="D94" s="9" t="s">
        <v>229</v>
      </c>
      <c r="E94" s="9" t="s">
        <v>213</v>
      </c>
      <c r="F94" s="9" t="s">
        <v>245</v>
      </c>
      <c r="G94" s="9" t="s">
        <v>41</v>
      </c>
      <c r="H94" s="10">
        <v>0</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c r="AG94" s="10">
        <v>0</v>
      </c>
      <c r="AH94" s="10">
        <f t="shared" si="2"/>
        <v>0</v>
      </c>
      <c r="AI94" s="10">
        <f t="shared" si="3"/>
        <v>0</v>
      </c>
    </row>
    <row r="95" spans="1:35" x14ac:dyDescent="0.35">
      <c r="A95" s="9">
        <v>86</v>
      </c>
      <c r="B95" s="9" t="s">
        <v>246</v>
      </c>
      <c r="C95" s="9" t="s">
        <v>225</v>
      </c>
      <c r="D95" s="9" t="s">
        <v>229</v>
      </c>
      <c r="E95" s="9" t="s">
        <v>110</v>
      </c>
      <c r="F95" s="9" t="s">
        <v>247</v>
      </c>
      <c r="G95" s="9" t="s">
        <v>41</v>
      </c>
      <c r="H95" s="10">
        <v>0</v>
      </c>
      <c r="I95" s="10">
        <v>0</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c r="AA95" s="10">
        <v>0</v>
      </c>
      <c r="AB95" s="10">
        <v>0</v>
      </c>
      <c r="AC95" s="10">
        <v>0</v>
      </c>
      <c r="AD95" s="10">
        <v>0</v>
      </c>
      <c r="AE95" s="10">
        <v>0</v>
      </c>
      <c r="AF95" s="10">
        <v>0</v>
      </c>
      <c r="AG95" s="10">
        <v>0</v>
      </c>
      <c r="AH95" s="10">
        <f t="shared" si="2"/>
        <v>0</v>
      </c>
      <c r="AI95" s="10">
        <f t="shared" si="3"/>
        <v>0</v>
      </c>
    </row>
    <row r="96" spans="1:35" x14ac:dyDescent="0.35">
      <c r="A96" s="9">
        <v>87</v>
      </c>
      <c r="B96" s="9" t="s">
        <v>248</v>
      </c>
      <c r="C96" s="9" t="s">
        <v>225</v>
      </c>
      <c r="D96" s="9" t="s">
        <v>249</v>
      </c>
      <c r="E96" s="9" t="s">
        <v>250</v>
      </c>
      <c r="F96" s="9" t="s">
        <v>251</v>
      </c>
      <c r="G96" s="9" t="s">
        <v>83</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f t="shared" si="2"/>
        <v>0</v>
      </c>
      <c r="AI96" s="10">
        <f t="shared" si="3"/>
        <v>0</v>
      </c>
    </row>
    <row r="97" spans="1:35" x14ac:dyDescent="0.35">
      <c r="A97" s="9">
        <v>88</v>
      </c>
      <c r="B97" s="9" t="s">
        <v>252</v>
      </c>
      <c r="C97" s="9" t="s">
        <v>225</v>
      </c>
      <c r="D97" s="9" t="s">
        <v>229</v>
      </c>
      <c r="E97" s="9" t="s">
        <v>178</v>
      </c>
      <c r="F97" s="9" t="s">
        <v>253</v>
      </c>
      <c r="G97" s="9" t="s">
        <v>83</v>
      </c>
      <c r="H97" s="10">
        <v>9780.4</v>
      </c>
      <c r="I97" s="10">
        <v>0</v>
      </c>
      <c r="J97" s="10">
        <v>0</v>
      </c>
      <c r="K97" s="10">
        <v>0</v>
      </c>
      <c r="L97" s="10">
        <v>0</v>
      </c>
      <c r="M97" s="10">
        <v>0</v>
      </c>
      <c r="N97" s="10">
        <v>0</v>
      </c>
      <c r="O97" s="10">
        <v>0</v>
      </c>
      <c r="P97" s="10">
        <v>0</v>
      </c>
      <c r="Q97" s="10">
        <v>0</v>
      </c>
      <c r="R97" s="10">
        <v>0</v>
      </c>
      <c r="S97" s="10">
        <v>0</v>
      </c>
      <c r="T97" s="10">
        <v>0</v>
      </c>
      <c r="U97" s="10">
        <v>0</v>
      </c>
      <c r="V97" s="10">
        <v>0</v>
      </c>
      <c r="W97" s="10">
        <v>0</v>
      </c>
      <c r="X97" s="10">
        <v>0</v>
      </c>
      <c r="Y97" s="10">
        <v>0</v>
      </c>
      <c r="Z97" s="10">
        <v>0</v>
      </c>
      <c r="AA97" s="10">
        <v>0</v>
      </c>
      <c r="AB97" s="10">
        <v>0</v>
      </c>
      <c r="AC97" s="10">
        <v>0</v>
      </c>
      <c r="AD97" s="10">
        <v>0</v>
      </c>
      <c r="AE97" s="10">
        <v>0</v>
      </c>
      <c r="AF97" s="10">
        <v>0</v>
      </c>
      <c r="AG97" s="10">
        <v>0</v>
      </c>
      <c r="AH97" s="10">
        <f t="shared" si="2"/>
        <v>0</v>
      </c>
      <c r="AI97" s="10">
        <f t="shared" si="3"/>
        <v>9780.4</v>
      </c>
    </row>
    <row r="98" spans="1:35" x14ac:dyDescent="0.35">
      <c r="A98" s="9">
        <v>89</v>
      </c>
      <c r="B98" s="9" t="s">
        <v>254</v>
      </c>
      <c r="C98" s="9" t="s">
        <v>139</v>
      </c>
      <c r="D98" s="9" t="s">
        <v>140</v>
      </c>
      <c r="E98" s="9" t="s">
        <v>186</v>
      </c>
      <c r="F98" s="9" t="s">
        <v>255</v>
      </c>
      <c r="G98" s="9" t="s">
        <v>83</v>
      </c>
      <c r="H98" s="10">
        <v>2219.67</v>
      </c>
      <c r="I98" s="10">
        <v>0</v>
      </c>
      <c r="J98" s="10">
        <v>0</v>
      </c>
      <c r="K98" s="10">
        <v>4.4800000000000004</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f t="shared" si="2"/>
        <v>4.4800000000000004</v>
      </c>
      <c r="AI98" s="10">
        <f t="shared" si="3"/>
        <v>2215.19</v>
      </c>
    </row>
    <row r="99" spans="1:35" x14ac:dyDescent="0.35">
      <c r="A99" s="9">
        <v>90</v>
      </c>
      <c r="B99" s="9" t="s">
        <v>256</v>
      </c>
      <c r="C99" s="9" t="s">
        <v>225</v>
      </c>
      <c r="D99" s="9" t="s">
        <v>124</v>
      </c>
      <c r="E99" s="9" t="s">
        <v>145</v>
      </c>
      <c r="F99" s="9" t="s">
        <v>257</v>
      </c>
      <c r="G99" s="9" t="s">
        <v>83</v>
      </c>
      <c r="H99" s="10">
        <v>153099.07</v>
      </c>
      <c r="I99" s="10">
        <v>0</v>
      </c>
      <c r="J99" s="10">
        <v>0</v>
      </c>
      <c r="K99" s="10">
        <v>2931.8</v>
      </c>
      <c r="L99" s="10">
        <v>7704.32</v>
      </c>
      <c r="M99" s="10">
        <v>12753.19</v>
      </c>
      <c r="N99" s="10">
        <v>0</v>
      </c>
      <c r="O99" s="10">
        <v>0</v>
      </c>
      <c r="P99" s="10">
        <v>0</v>
      </c>
      <c r="Q99" s="10">
        <v>0</v>
      </c>
      <c r="R99" s="10">
        <v>0</v>
      </c>
      <c r="S99" s="10">
        <v>0</v>
      </c>
      <c r="T99" s="10">
        <v>0</v>
      </c>
      <c r="U99" s="10">
        <v>0</v>
      </c>
      <c r="V99" s="10">
        <v>0</v>
      </c>
      <c r="W99" s="10">
        <v>0</v>
      </c>
      <c r="X99" s="10">
        <v>0</v>
      </c>
      <c r="Y99" s="10">
        <v>0</v>
      </c>
      <c r="Z99" s="10">
        <v>0</v>
      </c>
      <c r="AA99" s="10">
        <v>0</v>
      </c>
      <c r="AB99" s="10">
        <v>0</v>
      </c>
      <c r="AC99" s="10">
        <v>0</v>
      </c>
      <c r="AD99" s="10">
        <v>0</v>
      </c>
      <c r="AE99" s="10">
        <v>0</v>
      </c>
      <c r="AF99" s="10">
        <v>0</v>
      </c>
      <c r="AG99" s="10">
        <v>0</v>
      </c>
      <c r="AH99" s="10">
        <f t="shared" si="2"/>
        <v>23389.309999999998</v>
      </c>
      <c r="AI99" s="10">
        <f t="shared" si="3"/>
        <v>129709.76000000001</v>
      </c>
    </row>
    <row r="100" spans="1:35" x14ac:dyDescent="0.35">
      <c r="A100" s="9">
        <v>91</v>
      </c>
      <c r="B100" s="9" t="s">
        <v>258</v>
      </c>
      <c r="C100" s="9" t="s">
        <v>225</v>
      </c>
      <c r="D100" s="9" t="s">
        <v>124</v>
      </c>
      <c r="E100" s="9" t="s">
        <v>145</v>
      </c>
      <c r="F100" s="9" t="s">
        <v>259</v>
      </c>
      <c r="G100" s="9" t="s">
        <v>83</v>
      </c>
      <c r="H100" s="10">
        <v>6123.96</v>
      </c>
      <c r="I100" s="10">
        <v>0</v>
      </c>
      <c r="J100" s="10">
        <v>0</v>
      </c>
      <c r="K100" s="10">
        <v>165.25</v>
      </c>
      <c r="L100" s="10">
        <v>453.16</v>
      </c>
      <c r="M100" s="10">
        <v>734.84</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0</v>
      </c>
      <c r="AD100" s="10">
        <v>0</v>
      </c>
      <c r="AE100" s="10">
        <v>0</v>
      </c>
      <c r="AF100" s="10">
        <v>0</v>
      </c>
      <c r="AG100" s="10">
        <v>0</v>
      </c>
      <c r="AH100" s="10">
        <f t="shared" si="2"/>
        <v>1353.25</v>
      </c>
      <c r="AI100" s="10">
        <f t="shared" si="3"/>
        <v>4770.71</v>
      </c>
    </row>
    <row r="101" spans="1:35" x14ac:dyDescent="0.35">
      <c r="A101" s="9">
        <v>92</v>
      </c>
      <c r="B101" s="9" t="s">
        <v>260</v>
      </c>
      <c r="C101" s="9" t="s">
        <v>225</v>
      </c>
      <c r="D101" s="9" t="s">
        <v>124</v>
      </c>
      <c r="E101" s="9" t="s">
        <v>145</v>
      </c>
      <c r="F101" s="9" t="s">
        <v>261</v>
      </c>
      <c r="G101" s="9" t="s">
        <v>83</v>
      </c>
      <c r="H101" s="10">
        <v>9553.3799999999992</v>
      </c>
      <c r="I101" s="10">
        <v>0</v>
      </c>
      <c r="J101" s="10">
        <v>0</v>
      </c>
      <c r="K101" s="10">
        <v>223.29</v>
      </c>
      <c r="L101" s="10">
        <v>612.39</v>
      </c>
      <c r="M101" s="10">
        <v>791.45</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0</v>
      </c>
      <c r="AD101" s="10">
        <v>0</v>
      </c>
      <c r="AE101" s="10">
        <v>0</v>
      </c>
      <c r="AF101" s="10">
        <v>0</v>
      </c>
      <c r="AG101" s="10">
        <v>0</v>
      </c>
      <c r="AH101" s="10">
        <f t="shared" si="2"/>
        <v>1627.13</v>
      </c>
      <c r="AI101" s="10">
        <f t="shared" si="3"/>
        <v>7926.2499999999991</v>
      </c>
    </row>
    <row r="102" spans="1:35" x14ac:dyDescent="0.35">
      <c r="A102" s="9">
        <v>93</v>
      </c>
      <c r="B102" s="9" t="s">
        <v>262</v>
      </c>
      <c r="C102" s="9" t="s">
        <v>225</v>
      </c>
      <c r="D102" s="9" t="s">
        <v>124</v>
      </c>
      <c r="E102" s="9" t="s">
        <v>145</v>
      </c>
      <c r="F102" s="9" t="s">
        <v>263</v>
      </c>
      <c r="G102" s="9" t="s">
        <v>83</v>
      </c>
      <c r="H102" s="10">
        <v>25516.51</v>
      </c>
      <c r="I102" s="10">
        <v>0</v>
      </c>
      <c r="J102" s="10">
        <v>0</v>
      </c>
      <c r="K102" s="10">
        <v>360.5</v>
      </c>
      <c r="L102" s="10">
        <v>945.52</v>
      </c>
      <c r="M102" s="10">
        <v>1575.25</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c r="AD102" s="10">
        <v>0</v>
      </c>
      <c r="AE102" s="10">
        <v>0</v>
      </c>
      <c r="AF102" s="10">
        <v>0</v>
      </c>
      <c r="AG102" s="10">
        <v>0</v>
      </c>
      <c r="AH102" s="10">
        <f t="shared" si="2"/>
        <v>2881.27</v>
      </c>
      <c r="AI102" s="10">
        <f t="shared" si="3"/>
        <v>22635.239999999998</v>
      </c>
    </row>
    <row r="103" spans="1:35" x14ac:dyDescent="0.35">
      <c r="A103" s="9">
        <v>94</v>
      </c>
      <c r="B103" s="9" t="s">
        <v>264</v>
      </c>
      <c r="C103" s="9" t="s">
        <v>225</v>
      </c>
      <c r="D103" s="9" t="s">
        <v>229</v>
      </c>
      <c r="E103" s="9" t="s">
        <v>213</v>
      </c>
      <c r="F103" s="9" t="s">
        <v>265</v>
      </c>
      <c r="G103" s="9" t="s">
        <v>41</v>
      </c>
      <c r="H103" s="10">
        <v>0</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c r="AA103" s="10">
        <v>0</v>
      </c>
      <c r="AB103" s="10">
        <v>0</v>
      </c>
      <c r="AC103" s="10">
        <v>0</v>
      </c>
      <c r="AD103" s="10">
        <v>0</v>
      </c>
      <c r="AE103" s="10">
        <v>0</v>
      </c>
      <c r="AF103" s="10">
        <v>0</v>
      </c>
      <c r="AG103" s="10">
        <v>0</v>
      </c>
      <c r="AH103" s="10">
        <f t="shared" si="2"/>
        <v>0</v>
      </c>
      <c r="AI103" s="10">
        <f t="shared" si="3"/>
        <v>0</v>
      </c>
    </row>
    <row r="104" spans="1:35" x14ac:dyDescent="0.35">
      <c r="A104" s="9">
        <v>95</v>
      </c>
      <c r="B104" s="9" t="s">
        <v>266</v>
      </c>
      <c r="C104" s="9" t="s">
        <v>225</v>
      </c>
      <c r="D104" s="9" t="s">
        <v>229</v>
      </c>
      <c r="E104" s="9" t="s">
        <v>110</v>
      </c>
      <c r="F104" s="9" t="s">
        <v>267</v>
      </c>
      <c r="G104" s="9" t="s">
        <v>83</v>
      </c>
      <c r="H104" s="10">
        <v>0</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c r="AA104" s="10">
        <v>0</v>
      </c>
      <c r="AB104" s="10">
        <v>0</v>
      </c>
      <c r="AC104" s="10">
        <v>0</v>
      </c>
      <c r="AD104" s="10">
        <v>0</v>
      </c>
      <c r="AE104" s="10">
        <v>0</v>
      </c>
      <c r="AF104" s="10">
        <v>0</v>
      </c>
      <c r="AG104" s="10">
        <v>0</v>
      </c>
      <c r="AH104" s="10">
        <f t="shared" si="2"/>
        <v>0</v>
      </c>
      <c r="AI104" s="10">
        <f t="shared" si="3"/>
        <v>0</v>
      </c>
    </row>
    <row r="105" spans="1:35" x14ac:dyDescent="0.35">
      <c r="A105" s="9">
        <v>96</v>
      </c>
      <c r="B105" s="9" t="s">
        <v>268</v>
      </c>
      <c r="C105" s="9" t="s">
        <v>113</v>
      </c>
      <c r="D105" s="9" t="s">
        <v>114</v>
      </c>
      <c r="E105" s="9" t="s">
        <v>125</v>
      </c>
      <c r="F105" s="9" t="s">
        <v>269</v>
      </c>
      <c r="G105" s="9" t="s">
        <v>67</v>
      </c>
      <c r="H105" s="10">
        <v>35790.06</v>
      </c>
      <c r="I105" s="10">
        <v>0</v>
      </c>
      <c r="J105" s="10">
        <v>0</v>
      </c>
      <c r="K105" s="10">
        <v>0</v>
      </c>
      <c r="L105" s="10">
        <v>0</v>
      </c>
      <c r="M105" s="10">
        <v>0</v>
      </c>
      <c r="N105" s="10">
        <v>374.09</v>
      </c>
      <c r="O105" s="10">
        <v>178.44</v>
      </c>
      <c r="P105" s="10">
        <v>194.76</v>
      </c>
      <c r="Q105" s="10">
        <v>144.01</v>
      </c>
      <c r="R105" s="10">
        <v>142.75</v>
      </c>
      <c r="S105" s="10">
        <v>263.37</v>
      </c>
      <c r="T105" s="10">
        <v>802.08</v>
      </c>
      <c r="U105" s="10">
        <v>885.39</v>
      </c>
      <c r="V105" s="10">
        <v>760.26</v>
      </c>
      <c r="W105" s="10">
        <v>145.37</v>
      </c>
      <c r="X105" s="10">
        <v>924.23</v>
      </c>
      <c r="Y105" s="10">
        <v>454.32</v>
      </c>
      <c r="Z105" s="10">
        <v>136.61000000000001</v>
      </c>
      <c r="AA105" s="10">
        <v>122.17</v>
      </c>
      <c r="AB105" s="10">
        <v>259.23</v>
      </c>
      <c r="AC105" s="10">
        <v>198.77</v>
      </c>
      <c r="AD105" s="10">
        <v>197.58</v>
      </c>
      <c r="AE105" s="10">
        <v>312.69</v>
      </c>
      <c r="AF105" s="10">
        <v>203.43</v>
      </c>
      <c r="AG105" s="10">
        <v>138.87</v>
      </c>
      <c r="AH105" s="10">
        <f t="shared" si="2"/>
        <v>6838.42</v>
      </c>
      <c r="AI105" s="10">
        <f t="shared" si="3"/>
        <v>28951.64</v>
      </c>
    </row>
    <row r="106" spans="1:35" x14ac:dyDescent="0.35">
      <c r="A106" s="9">
        <v>97</v>
      </c>
      <c r="B106" s="9" t="s">
        <v>270</v>
      </c>
      <c r="C106" s="9" t="s">
        <v>113</v>
      </c>
      <c r="D106" s="9" t="s">
        <v>114</v>
      </c>
      <c r="E106" s="9" t="s">
        <v>178</v>
      </c>
      <c r="F106" s="9" t="s">
        <v>271</v>
      </c>
      <c r="G106" s="9" t="s">
        <v>67</v>
      </c>
      <c r="H106" s="10">
        <v>22390.240000000002</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c r="AA106" s="10">
        <v>0</v>
      </c>
      <c r="AB106" s="10">
        <v>0</v>
      </c>
      <c r="AC106" s="10">
        <v>0</v>
      </c>
      <c r="AD106" s="10">
        <v>0</v>
      </c>
      <c r="AE106" s="10">
        <v>0</v>
      </c>
      <c r="AF106" s="10">
        <v>0</v>
      </c>
      <c r="AG106" s="10">
        <v>0</v>
      </c>
      <c r="AH106" s="10">
        <f t="shared" si="2"/>
        <v>0</v>
      </c>
      <c r="AI106" s="10">
        <f t="shared" si="3"/>
        <v>22390.240000000002</v>
      </c>
    </row>
    <row r="107" spans="1:35" x14ac:dyDescent="0.35">
      <c r="A107" s="9">
        <v>98</v>
      </c>
      <c r="B107" s="9" t="s">
        <v>272</v>
      </c>
      <c r="C107" s="9" t="s">
        <v>113</v>
      </c>
      <c r="D107" s="9" t="s">
        <v>114</v>
      </c>
      <c r="E107" s="9" t="s">
        <v>178</v>
      </c>
      <c r="F107" s="9" t="s">
        <v>273</v>
      </c>
      <c r="G107" s="9" t="s">
        <v>67</v>
      </c>
      <c r="H107" s="10">
        <v>56541.8</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c r="AA107" s="10">
        <v>0</v>
      </c>
      <c r="AB107" s="10">
        <v>0</v>
      </c>
      <c r="AC107" s="10">
        <v>0</v>
      </c>
      <c r="AD107" s="10">
        <v>0</v>
      </c>
      <c r="AE107" s="10">
        <v>0</v>
      </c>
      <c r="AF107" s="10">
        <v>0</v>
      </c>
      <c r="AG107" s="10">
        <v>0</v>
      </c>
      <c r="AH107" s="10">
        <f t="shared" si="2"/>
        <v>0</v>
      </c>
      <c r="AI107" s="10">
        <f t="shared" si="3"/>
        <v>56541.8</v>
      </c>
    </row>
    <row r="108" spans="1:35" x14ac:dyDescent="0.35">
      <c r="A108" s="9">
        <v>99</v>
      </c>
      <c r="B108" s="9" t="s">
        <v>274</v>
      </c>
      <c r="C108" s="9" t="s">
        <v>113</v>
      </c>
      <c r="D108" s="9" t="s">
        <v>114</v>
      </c>
      <c r="E108" s="9" t="s">
        <v>178</v>
      </c>
      <c r="F108" s="9" t="s">
        <v>275</v>
      </c>
      <c r="G108" s="9" t="s">
        <v>67</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c r="AC108" s="10">
        <v>0</v>
      </c>
      <c r="AD108" s="10">
        <v>0</v>
      </c>
      <c r="AE108" s="10">
        <v>0</v>
      </c>
      <c r="AF108" s="10">
        <v>0</v>
      </c>
      <c r="AG108" s="10">
        <v>0</v>
      </c>
      <c r="AH108" s="10">
        <f t="shared" si="2"/>
        <v>0</v>
      </c>
      <c r="AI108" s="10">
        <f t="shared" si="3"/>
        <v>0</v>
      </c>
    </row>
    <row r="109" spans="1:35" x14ac:dyDescent="0.35">
      <c r="A109" s="9">
        <v>100</v>
      </c>
      <c r="B109" s="9" t="s">
        <v>276</v>
      </c>
      <c r="C109" s="9" t="s">
        <v>113</v>
      </c>
      <c r="D109" s="9" t="s">
        <v>114</v>
      </c>
      <c r="E109" s="9" t="s">
        <v>110</v>
      </c>
      <c r="F109" s="9" t="s">
        <v>277</v>
      </c>
      <c r="G109" s="9" t="s">
        <v>67</v>
      </c>
      <c r="H109" s="10">
        <v>0</v>
      </c>
      <c r="I109" s="10">
        <v>0</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c r="AA109" s="10">
        <v>0</v>
      </c>
      <c r="AB109" s="10">
        <v>0</v>
      </c>
      <c r="AC109" s="10">
        <v>0</v>
      </c>
      <c r="AD109" s="10">
        <v>0</v>
      </c>
      <c r="AE109" s="10">
        <v>0</v>
      </c>
      <c r="AF109" s="10">
        <v>0</v>
      </c>
      <c r="AG109" s="10">
        <v>0</v>
      </c>
      <c r="AH109" s="10">
        <f t="shared" si="2"/>
        <v>0</v>
      </c>
      <c r="AI109" s="10">
        <f t="shared" si="3"/>
        <v>0</v>
      </c>
    </row>
    <row r="110" spans="1:35" x14ac:dyDescent="0.35">
      <c r="A110" s="9">
        <v>101</v>
      </c>
      <c r="B110" s="9" t="s">
        <v>278</v>
      </c>
      <c r="C110" s="9" t="s">
        <v>113</v>
      </c>
      <c r="D110" s="9" t="s">
        <v>114</v>
      </c>
      <c r="E110" s="9" t="s">
        <v>118</v>
      </c>
      <c r="F110" s="9" t="s">
        <v>279</v>
      </c>
      <c r="G110" s="9" t="s">
        <v>41</v>
      </c>
      <c r="H110" s="10">
        <v>0</v>
      </c>
      <c r="I110" s="10">
        <v>0</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c r="AA110" s="10">
        <v>0</v>
      </c>
      <c r="AB110" s="10">
        <v>0</v>
      </c>
      <c r="AC110" s="10">
        <v>0</v>
      </c>
      <c r="AD110" s="10">
        <v>0</v>
      </c>
      <c r="AE110" s="10">
        <v>0</v>
      </c>
      <c r="AF110" s="10">
        <v>0</v>
      </c>
      <c r="AG110" s="10">
        <v>0</v>
      </c>
      <c r="AH110" s="10">
        <f t="shared" si="2"/>
        <v>0</v>
      </c>
      <c r="AI110" s="10">
        <f t="shared" si="3"/>
        <v>0</v>
      </c>
    </row>
    <row r="111" spans="1:35" x14ac:dyDescent="0.35">
      <c r="A111" s="9">
        <v>102</v>
      </c>
      <c r="B111" s="9" t="s">
        <v>280</v>
      </c>
      <c r="C111" s="9" t="s">
        <v>113</v>
      </c>
      <c r="D111" s="9" t="s">
        <v>114</v>
      </c>
      <c r="E111" s="9" t="s">
        <v>118</v>
      </c>
      <c r="F111" s="9" t="s">
        <v>281</v>
      </c>
      <c r="G111" s="9" t="s">
        <v>41</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0">
        <v>0</v>
      </c>
      <c r="AH111" s="10">
        <f t="shared" si="2"/>
        <v>0</v>
      </c>
      <c r="AI111" s="10">
        <f t="shared" si="3"/>
        <v>0</v>
      </c>
    </row>
    <row r="112" spans="1:35" x14ac:dyDescent="0.35">
      <c r="A112" s="9">
        <v>103</v>
      </c>
      <c r="B112" s="9" t="s">
        <v>282</v>
      </c>
      <c r="C112" s="9" t="s">
        <v>113</v>
      </c>
      <c r="D112" s="9" t="s">
        <v>114</v>
      </c>
      <c r="E112" s="9" t="s">
        <v>283</v>
      </c>
      <c r="F112" s="9" t="s">
        <v>284</v>
      </c>
      <c r="G112" s="9" t="s">
        <v>67</v>
      </c>
      <c r="H112" s="10">
        <v>44127.3</v>
      </c>
      <c r="I112" s="10">
        <v>777.1</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c r="AA112" s="10">
        <v>0</v>
      </c>
      <c r="AB112" s="10">
        <v>0</v>
      </c>
      <c r="AC112" s="10">
        <v>0</v>
      </c>
      <c r="AD112" s="10">
        <v>0</v>
      </c>
      <c r="AE112" s="10">
        <v>0</v>
      </c>
      <c r="AF112" s="10">
        <v>0</v>
      </c>
      <c r="AG112" s="10">
        <v>0</v>
      </c>
      <c r="AH112" s="10">
        <f t="shared" si="2"/>
        <v>777.1</v>
      </c>
      <c r="AI112" s="10">
        <f t="shared" si="3"/>
        <v>43350.200000000004</v>
      </c>
    </row>
    <row r="113" spans="1:35" x14ac:dyDescent="0.35">
      <c r="A113" s="9">
        <v>104</v>
      </c>
      <c r="B113" s="9" t="s">
        <v>285</v>
      </c>
      <c r="C113" s="9" t="s">
        <v>113</v>
      </c>
      <c r="D113" s="9" t="s">
        <v>114</v>
      </c>
      <c r="E113" s="9" t="s">
        <v>110</v>
      </c>
      <c r="F113" s="9" t="s">
        <v>286</v>
      </c>
      <c r="G113" s="9" t="s">
        <v>67</v>
      </c>
      <c r="H113" s="10">
        <v>60830.14</v>
      </c>
      <c r="I113" s="10">
        <v>0</v>
      </c>
      <c r="J113" s="10">
        <v>0</v>
      </c>
      <c r="K113" s="10">
        <v>0</v>
      </c>
      <c r="L113" s="10">
        <v>0</v>
      </c>
      <c r="M113" s="10">
        <v>0</v>
      </c>
      <c r="N113" s="10">
        <v>0</v>
      </c>
      <c r="O113" s="10">
        <v>491.39</v>
      </c>
      <c r="P113" s="10">
        <v>0</v>
      </c>
      <c r="Q113" s="10">
        <v>485.76</v>
      </c>
      <c r="R113" s="10">
        <v>0</v>
      </c>
      <c r="S113" s="10">
        <v>1233.3499999999999</v>
      </c>
      <c r="T113" s="10">
        <v>0</v>
      </c>
      <c r="U113" s="10">
        <v>250.9</v>
      </c>
      <c r="V113" s="10">
        <v>2465.5</v>
      </c>
      <c r="W113" s="10">
        <v>0</v>
      </c>
      <c r="X113" s="10">
        <v>4034.84</v>
      </c>
      <c r="Y113" s="10">
        <v>1487.58</v>
      </c>
      <c r="Z113" s="10">
        <v>721.5</v>
      </c>
      <c r="AA113" s="10">
        <v>239.38</v>
      </c>
      <c r="AB113" s="10">
        <v>990.33</v>
      </c>
      <c r="AC113" s="10">
        <v>0</v>
      </c>
      <c r="AD113" s="10">
        <v>447.11</v>
      </c>
      <c r="AE113" s="10">
        <v>974.47</v>
      </c>
      <c r="AF113" s="10">
        <v>477.64</v>
      </c>
      <c r="AG113" s="10">
        <v>602.39</v>
      </c>
      <c r="AH113" s="10">
        <f t="shared" si="2"/>
        <v>14902.139999999998</v>
      </c>
      <c r="AI113" s="10">
        <f t="shared" si="3"/>
        <v>45928</v>
      </c>
    </row>
    <row r="114" spans="1:35" x14ac:dyDescent="0.35">
      <c r="A114" s="9">
        <v>105</v>
      </c>
      <c r="B114" s="9" t="s">
        <v>287</v>
      </c>
      <c r="C114" s="9" t="s">
        <v>139</v>
      </c>
      <c r="D114" s="9" t="s">
        <v>140</v>
      </c>
      <c r="E114" s="9" t="s">
        <v>118</v>
      </c>
      <c r="F114" s="9" t="s">
        <v>288</v>
      </c>
      <c r="G114" s="9" t="s">
        <v>41</v>
      </c>
      <c r="H114" s="10">
        <v>0</v>
      </c>
      <c r="I114" s="10">
        <v>11352.82</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c r="AA114" s="10">
        <v>0</v>
      </c>
      <c r="AB114" s="10">
        <v>0</v>
      </c>
      <c r="AC114" s="10">
        <v>0</v>
      </c>
      <c r="AD114" s="10">
        <v>0</v>
      </c>
      <c r="AE114" s="10">
        <v>0</v>
      </c>
      <c r="AF114" s="10">
        <v>0</v>
      </c>
      <c r="AG114" s="10">
        <v>0</v>
      </c>
      <c r="AH114" s="10">
        <f t="shared" si="2"/>
        <v>11352.82</v>
      </c>
      <c r="AI114" s="10">
        <f t="shared" si="3"/>
        <v>-11352.82</v>
      </c>
    </row>
    <row r="115" spans="1:35" x14ac:dyDescent="0.35">
      <c r="A115" s="9">
        <v>106</v>
      </c>
      <c r="B115" s="9" t="s">
        <v>289</v>
      </c>
      <c r="C115" s="9" t="s">
        <v>113</v>
      </c>
      <c r="D115" s="9" t="s">
        <v>114</v>
      </c>
      <c r="E115" s="9" t="s">
        <v>118</v>
      </c>
      <c r="F115" s="9" t="s">
        <v>290</v>
      </c>
      <c r="G115" s="9" t="s">
        <v>41</v>
      </c>
      <c r="H115" s="10">
        <v>0</v>
      </c>
      <c r="I115" s="10">
        <v>0</v>
      </c>
      <c r="J115" s="10">
        <v>0</v>
      </c>
      <c r="K115" s="10">
        <v>0</v>
      </c>
      <c r="L115" s="10">
        <v>0</v>
      </c>
      <c r="M115" s="10">
        <v>0</v>
      </c>
      <c r="N115" s="10">
        <v>0</v>
      </c>
      <c r="O115" s="10">
        <v>0</v>
      </c>
      <c r="P115" s="10">
        <v>0</v>
      </c>
      <c r="Q115" s="10">
        <v>0</v>
      </c>
      <c r="R115" s="10">
        <v>0</v>
      </c>
      <c r="S115" s="10">
        <v>0</v>
      </c>
      <c r="T115" s="10">
        <v>0</v>
      </c>
      <c r="U115" s="10">
        <v>0</v>
      </c>
      <c r="V115" s="10">
        <v>0</v>
      </c>
      <c r="W115" s="10">
        <v>0</v>
      </c>
      <c r="X115" s="10">
        <v>0</v>
      </c>
      <c r="Y115" s="10">
        <v>0</v>
      </c>
      <c r="Z115" s="10">
        <v>0</v>
      </c>
      <c r="AA115" s="10">
        <v>0</v>
      </c>
      <c r="AB115" s="10">
        <v>0</v>
      </c>
      <c r="AC115" s="10">
        <v>0</v>
      </c>
      <c r="AD115" s="10">
        <v>0</v>
      </c>
      <c r="AE115" s="10">
        <v>0</v>
      </c>
      <c r="AF115" s="10">
        <v>0</v>
      </c>
      <c r="AG115" s="10">
        <v>0</v>
      </c>
      <c r="AH115" s="10">
        <f t="shared" si="2"/>
        <v>0</v>
      </c>
      <c r="AI115" s="10">
        <f t="shared" si="3"/>
        <v>0</v>
      </c>
    </row>
    <row r="116" spans="1:35" x14ac:dyDescent="0.35">
      <c r="A116" s="9">
        <v>107</v>
      </c>
      <c r="B116" s="9" t="s">
        <v>291</v>
      </c>
      <c r="C116" s="9" t="s">
        <v>113</v>
      </c>
      <c r="D116" s="9" t="s">
        <v>114</v>
      </c>
      <c r="E116" s="9" t="s">
        <v>118</v>
      </c>
      <c r="F116" s="9" t="s">
        <v>292</v>
      </c>
      <c r="G116" s="9" t="s">
        <v>67</v>
      </c>
      <c r="H116" s="10">
        <v>13219.53</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c r="AA116" s="10">
        <v>0</v>
      </c>
      <c r="AB116" s="10">
        <v>0</v>
      </c>
      <c r="AC116" s="10">
        <v>0</v>
      </c>
      <c r="AD116" s="10">
        <v>0</v>
      </c>
      <c r="AE116" s="10">
        <v>0</v>
      </c>
      <c r="AF116" s="10">
        <v>0</v>
      </c>
      <c r="AG116" s="10">
        <v>0</v>
      </c>
      <c r="AH116" s="10">
        <f t="shared" si="2"/>
        <v>0</v>
      </c>
      <c r="AI116" s="10">
        <f t="shared" si="3"/>
        <v>13219.53</v>
      </c>
    </row>
    <row r="117" spans="1:35" x14ac:dyDescent="0.35">
      <c r="A117" s="9">
        <v>108</v>
      </c>
      <c r="B117" s="9" t="s">
        <v>293</v>
      </c>
      <c r="C117" s="9" t="s">
        <v>113</v>
      </c>
      <c r="D117" s="9" t="s">
        <v>114</v>
      </c>
      <c r="E117" s="9" t="s">
        <v>118</v>
      </c>
      <c r="F117" s="9" t="s">
        <v>294</v>
      </c>
      <c r="G117" s="9" t="s">
        <v>41</v>
      </c>
      <c r="H117" s="10">
        <v>0</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c r="AA117" s="10">
        <v>0</v>
      </c>
      <c r="AB117" s="10">
        <v>0</v>
      </c>
      <c r="AC117" s="10">
        <v>0</v>
      </c>
      <c r="AD117" s="10">
        <v>0</v>
      </c>
      <c r="AE117" s="10">
        <v>0</v>
      </c>
      <c r="AF117" s="10">
        <v>0</v>
      </c>
      <c r="AG117" s="10">
        <v>0</v>
      </c>
      <c r="AH117" s="10">
        <f t="shared" si="2"/>
        <v>0</v>
      </c>
      <c r="AI117" s="10">
        <f t="shared" si="3"/>
        <v>0</v>
      </c>
    </row>
    <row r="118" spans="1:35" x14ac:dyDescent="0.35">
      <c r="A118" s="9">
        <v>109</v>
      </c>
      <c r="B118" s="9" t="s">
        <v>295</v>
      </c>
      <c r="C118" s="9" t="s">
        <v>113</v>
      </c>
      <c r="D118" s="9" t="s">
        <v>114</v>
      </c>
      <c r="E118" s="9" t="s">
        <v>107</v>
      </c>
      <c r="F118" s="9" t="s">
        <v>296</v>
      </c>
      <c r="G118" s="9" t="s">
        <v>67</v>
      </c>
      <c r="H118" s="10">
        <v>51198.080000000002</v>
      </c>
      <c r="I118" s="10">
        <v>0</v>
      </c>
      <c r="J118" s="10">
        <v>0</v>
      </c>
      <c r="K118" s="10">
        <v>0</v>
      </c>
      <c r="L118" s="10">
        <v>0</v>
      </c>
      <c r="M118" s="10">
        <v>0</v>
      </c>
      <c r="N118" s="10">
        <v>0</v>
      </c>
      <c r="O118" s="10">
        <v>623.6</v>
      </c>
      <c r="P118" s="10">
        <v>202.69</v>
      </c>
      <c r="Q118" s="10">
        <v>776.03</v>
      </c>
      <c r="R118" s="10">
        <v>661.27</v>
      </c>
      <c r="S118" s="10">
        <v>0</v>
      </c>
      <c r="T118" s="10">
        <v>128.69999999999999</v>
      </c>
      <c r="U118" s="10">
        <v>732.43</v>
      </c>
      <c r="V118" s="10">
        <v>600.41</v>
      </c>
      <c r="W118" s="10">
        <v>162.81</v>
      </c>
      <c r="X118" s="10">
        <v>741.55</v>
      </c>
      <c r="Y118" s="10">
        <v>0</v>
      </c>
      <c r="Z118" s="10">
        <v>1147.5999999999999</v>
      </c>
      <c r="AA118" s="10">
        <v>0</v>
      </c>
      <c r="AB118" s="10">
        <v>737.16</v>
      </c>
      <c r="AC118" s="10">
        <v>550.03</v>
      </c>
      <c r="AD118" s="10">
        <v>486.17</v>
      </c>
      <c r="AE118" s="10">
        <v>412.53</v>
      </c>
      <c r="AF118" s="10">
        <v>465.73</v>
      </c>
      <c r="AG118" s="10">
        <v>419.12</v>
      </c>
      <c r="AH118" s="10">
        <f t="shared" si="2"/>
        <v>8847.83</v>
      </c>
      <c r="AI118" s="10">
        <f t="shared" si="3"/>
        <v>42350.25</v>
      </c>
    </row>
    <row r="119" spans="1:35" x14ac:dyDescent="0.35">
      <c r="A119" s="9">
        <v>110</v>
      </c>
      <c r="B119" s="9" t="s">
        <v>297</v>
      </c>
      <c r="C119" s="9" t="s">
        <v>113</v>
      </c>
      <c r="D119" s="9" t="s">
        <v>114</v>
      </c>
      <c r="E119" s="9" t="s">
        <v>110</v>
      </c>
      <c r="F119" s="9" t="s">
        <v>298</v>
      </c>
      <c r="G119" s="9" t="s">
        <v>67</v>
      </c>
      <c r="H119" s="10">
        <v>46123.07</v>
      </c>
      <c r="I119" s="10">
        <v>0</v>
      </c>
      <c r="J119" s="10">
        <v>0</v>
      </c>
      <c r="K119" s="10">
        <v>0</v>
      </c>
      <c r="L119" s="10">
        <v>0</v>
      </c>
      <c r="M119" s="10">
        <v>0</v>
      </c>
      <c r="N119" s="10">
        <v>0</v>
      </c>
      <c r="O119" s="10">
        <v>0</v>
      </c>
      <c r="P119" s="10">
        <v>0</v>
      </c>
      <c r="Q119" s="10">
        <v>0</v>
      </c>
      <c r="R119" s="10">
        <v>0</v>
      </c>
      <c r="S119" s="10">
        <v>0</v>
      </c>
      <c r="T119" s="10">
        <v>0</v>
      </c>
      <c r="U119" s="10">
        <v>0</v>
      </c>
      <c r="V119" s="10">
        <v>0</v>
      </c>
      <c r="W119" s="10">
        <v>0</v>
      </c>
      <c r="X119" s="10">
        <v>0</v>
      </c>
      <c r="Y119" s="10">
        <v>0</v>
      </c>
      <c r="Z119" s="10">
        <v>0</v>
      </c>
      <c r="AA119" s="10">
        <v>0</v>
      </c>
      <c r="AB119" s="10">
        <v>0</v>
      </c>
      <c r="AC119" s="10">
        <v>0</v>
      </c>
      <c r="AD119" s="10">
        <v>0</v>
      </c>
      <c r="AE119" s="10">
        <v>0</v>
      </c>
      <c r="AF119" s="10">
        <v>0</v>
      </c>
      <c r="AG119" s="10">
        <v>0</v>
      </c>
      <c r="AH119" s="10">
        <f t="shared" si="2"/>
        <v>0</v>
      </c>
      <c r="AI119" s="10">
        <f t="shared" si="3"/>
        <v>46123.07</v>
      </c>
    </row>
    <row r="120" spans="1:35" x14ac:dyDescent="0.35">
      <c r="A120" s="9">
        <v>111</v>
      </c>
      <c r="B120" s="9" t="s">
        <v>299</v>
      </c>
      <c r="C120" s="9" t="s">
        <v>113</v>
      </c>
      <c r="D120" s="9" t="s">
        <v>114</v>
      </c>
      <c r="E120" s="9" t="s">
        <v>118</v>
      </c>
      <c r="F120" s="9" t="s">
        <v>300</v>
      </c>
      <c r="G120" s="9" t="s">
        <v>67</v>
      </c>
      <c r="H120" s="10">
        <v>85445.74</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c r="AA120" s="10">
        <v>0</v>
      </c>
      <c r="AB120" s="10">
        <v>0</v>
      </c>
      <c r="AC120" s="10">
        <v>0</v>
      </c>
      <c r="AD120" s="10">
        <v>0</v>
      </c>
      <c r="AE120" s="10">
        <v>0</v>
      </c>
      <c r="AF120" s="10">
        <v>0</v>
      </c>
      <c r="AG120" s="10">
        <v>0</v>
      </c>
      <c r="AH120" s="10">
        <f t="shared" si="2"/>
        <v>0</v>
      </c>
      <c r="AI120" s="10">
        <f t="shared" si="3"/>
        <v>85445.74</v>
      </c>
    </row>
    <row r="121" spans="1:35" x14ac:dyDescent="0.35">
      <c r="A121" s="9">
        <v>112</v>
      </c>
      <c r="B121" s="9" t="s">
        <v>301</v>
      </c>
      <c r="C121" s="9" t="s">
        <v>113</v>
      </c>
      <c r="D121" s="9" t="s">
        <v>114</v>
      </c>
      <c r="E121" s="9" t="s">
        <v>110</v>
      </c>
      <c r="F121" s="9" t="s">
        <v>302</v>
      </c>
      <c r="G121" s="9" t="s">
        <v>67</v>
      </c>
      <c r="H121" s="10">
        <v>24708</v>
      </c>
      <c r="I121" s="10">
        <v>0</v>
      </c>
      <c r="J121" s="10">
        <v>0</v>
      </c>
      <c r="K121" s="10">
        <v>0</v>
      </c>
      <c r="L121" s="10">
        <v>0</v>
      </c>
      <c r="M121" s="10">
        <v>0</v>
      </c>
      <c r="N121" s="10">
        <v>0</v>
      </c>
      <c r="O121" s="10">
        <v>0</v>
      </c>
      <c r="P121" s="10">
        <v>105.92</v>
      </c>
      <c r="Q121" s="10">
        <v>0</v>
      </c>
      <c r="R121" s="10">
        <v>0</v>
      </c>
      <c r="S121" s="10">
        <v>0</v>
      </c>
      <c r="T121" s="10">
        <v>0</v>
      </c>
      <c r="U121" s="10">
        <v>294.29000000000002</v>
      </c>
      <c r="V121" s="10">
        <v>0</v>
      </c>
      <c r="W121" s="10">
        <v>0</v>
      </c>
      <c r="X121" s="10">
        <v>0</v>
      </c>
      <c r="Y121" s="10">
        <v>0</v>
      </c>
      <c r="Z121" s="10">
        <v>0</v>
      </c>
      <c r="AA121" s="10">
        <v>0</v>
      </c>
      <c r="AB121" s="10">
        <v>0</v>
      </c>
      <c r="AC121" s="10">
        <v>0</v>
      </c>
      <c r="AD121" s="10">
        <v>0</v>
      </c>
      <c r="AE121" s="10">
        <v>137.38999999999999</v>
      </c>
      <c r="AF121" s="10">
        <v>73.33</v>
      </c>
      <c r="AG121" s="10">
        <v>0</v>
      </c>
      <c r="AH121" s="10">
        <f t="shared" si="2"/>
        <v>610.93000000000006</v>
      </c>
      <c r="AI121" s="10">
        <f t="shared" si="3"/>
        <v>24097.07</v>
      </c>
    </row>
    <row r="122" spans="1:35" x14ac:dyDescent="0.35">
      <c r="A122" s="9">
        <v>113</v>
      </c>
      <c r="B122" s="9" t="s">
        <v>303</v>
      </c>
      <c r="C122" s="9" t="s">
        <v>113</v>
      </c>
      <c r="D122" s="9" t="s">
        <v>114</v>
      </c>
      <c r="E122" s="9" t="s">
        <v>186</v>
      </c>
      <c r="F122" s="9" t="s">
        <v>304</v>
      </c>
      <c r="G122" s="9" t="s">
        <v>67</v>
      </c>
      <c r="H122" s="10">
        <v>234207.03</v>
      </c>
      <c r="I122" s="10">
        <v>0</v>
      </c>
      <c r="J122" s="10">
        <v>0</v>
      </c>
      <c r="K122" s="10">
        <v>0</v>
      </c>
      <c r="L122" s="10">
        <v>0</v>
      </c>
      <c r="M122" s="10">
        <v>0</v>
      </c>
      <c r="N122" s="10">
        <v>17.86</v>
      </c>
      <c r="O122" s="10">
        <v>0</v>
      </c>
      <c r="P122" s="10">
        <v>0</v>
      </c>
      <c r="Q122" s="10">
        <v>0</v>
      </c>
      <c r="R122" s="10">
        <v>0</v>
      </c>
      <c r="S122" s="10">
        <v>0</v>
      </c>
      <c r="T122" s="10">
        <v>8.91</v>
      </c>
      <c r="U122" s="10">
        <v>8.92</v>
      </c>
      <c r="V122" s="10">
        <v>26.86</v>
      </c>
      <c r="W122" s="10">
        <v>0</v>
      </c>
      <c r="X122" s="10">
        <v>0</v>
      </c>
      <c r="Y122" s="10">
        <v>0</v>
      </c>
      <c r="Z122" s="10">
        <v>0</v>
      </c>
      <c r="AA122" s="10">
        <v>0</v>
      </c>
      <c r="AB122" s="10">
        <v>0</v>
      </c>
      <c r="AC122" s="10">
        <v>0</v>
      </c>
      <c r="AD122" s="10">
        <v>0</v>
      </c>
      <c r="AE122" s="10">
        <v>8.92</v>
      </c>
      <c r="AF122" s="10">
        <v>0</v>
      </c>
      <c r="AG122" s="10">
        <v>0</v>
      </c>
      <c r="AH122" s="10">
        <f t="shared" si="2"/>
        <v>71.47</v>
      </c>
      <c r="AI122" s="10">
        <f t="shared" si="3"/>
        <v>234135.56</v>
      </c>
    </row>
    <row r="123" spans="1:35" x14ac:dyDescent="0.35">
      <c r="A123" s="9">
        <v>114</v>
      </c>
      <c r="B123" s="9" t="s">
        <v>305</v>
      </c>
      <c r="C123" s="9" t="s">
        <v>113</v>
      </c>
      <c r="D123" s="9" t="s">
        <v>114</v>
      </c>
      <c r="E123" s="9" t="s">
        <v>186</v>
      </c>
      <c r="F123" s="9" t="s">
        <v>306</v>
      </c>
      <c r="G123" s="9" t="s">
        <v>67</v>
      </c>
      <c r="H123" s="10">
        <v>24313.09</v>
      </c>
      <c r="I123" s="10">
        <v>0</v>
      </c>
      <c r="J123" s="10">
        <v>0</v>
      </c>
      <c r="K123" s="10">
        <v>0</v>
      </c>
      <c r="L123" s="10">
        <v>0</v>
      </c>
      <c r="M123" s="10">
        <v>0</v>
      </c>
      <c r="N123" s="10">
        <v>80.34</v>
      </c>
      <c r="O123" s="10">
        <v>0</v>
      </c>
      <c r="P123" s="10">
        <v>0</v>
      </c>
      <c r="Q123" s="10">
        <v>0</v>
      </c>
      <c r="R123" s="10">
        <v>0</v>
      </c>
      <c r="S123" s="10">
        <v>0</v>
      </c>
      <c r="T123" s="10">
        <v>88.67</v>
      </c>
      <c r="U123" s="10">
        <v>71.42</v>
      </c>
      <c r="V123" s="10">
        <v>80.37</v>
      </c>
      <c r="W123" s="10">
        <v>0</v>
      </c>
      <c r="X123" s="10">
        <v>0</v>
      </c>
      <c r="Y123" s="10">
        <v>0</v>
      </c>
      <c r="Z123" s="10">
        <v>0</v>
      </c>
      <c r="AA123" s="10">
        <v>0</v>
      </c>
      <c r="AB123" s="10">
        <v>17.87</v>
      </c>
      <c r="AC123" s="10">
        <v>44.61</v>
      </c>
      <c r="AD123" s="10">
        <v>0</v>
      </c>
      <c r="AE123" s="10">
        <v>0</v>
      </c>
      <c r="AF123" s="10">
        <v>80.34</v>
      </c>
      <c r="AG123" s="10">
        <v>35.799999999999997</v>
      </c>
      <c r="AH123" s="10">
        <f t="shared" si="2"/>
        <v>499.42</v>
      </c>
      <c r="AI123" s="10">
        <f t="shared" si="3"/>
        <v>23813.670000000002</v>
      </c>
    </row>
    <row r="124" spans="1:35" x14ac:dyDescent="0.35">
      <c r="A124" s="9">
        <v>115</v>
      </c>
      <c r="B124" s="9" t="s">
        <v>307</v>
      </c>
      <c r="C124" s="9" t="s">
        <v>113</v>
      </c>
      <c r="D124" s="9" t="s">
        <v>114</v>
      </c>
      <c r="E124" s="9" t="s">
        <v>145</v>
      </c>
      <c r="F124" s="9" t="s">
        <v>308</v>
      </c>
      <c r="G124" s="9" t="s">
        <v>67</v>
      </c>
      <c r="H124" s="10">
        <v>2589047.65</v>
      </c>
      <c r="I124" s="10">
        <v>0</v>
      </c>
      <c r="J124" s="10">
        <v>0</v>
      </c>
      <c r="K124" s="10">
        <v>0</v>
      </c>
      <c r="L124" s="10">
        <v>0</v>
      </c>
      <c r="M124" s="10">
        <v>0</v>
      </c>
      <c r="N124" s="10">
        <v>19267.27</v>
      </c>
      <c r="O124" s="10">
        <v>8768.92</v>
      </c>
      <c r="P124" s="10">
        <v>12605.68</v>
      </c>
      <c r="Q124" s="10">
        <v>6727.71</v>
      </c>
      <c r="R124" s="10">
        <v>7884.8</v>
      </c>
      <c r="S124" s="10">
        <v>18170.46</v>
      </c>
      <c r="T124" s="10">
        <v>61580.33</v>
      </c>
      <c r="U124" s="10">
        <v>54868.34</v>
      </c>
      <c r="V124" s="10">
        <v>26578.35</v>
      </c>
      <c r="W124" s="10">
        <v>7715.26</v>
      </c>
      <c r="X124" s="10">
        <v>45179.14</v>
      </c>
      <c r="Y124" s="10">
        <v>21031.39</v>
      </c>
      <c r="Z124" s="10">
        <v>5669.36</v>
      </c>
      <c r="AA124" s="10">
        <v>4760.82</v>
      </c>
      <c r="AB124" s="10">
        <v>12026.48</v>
      </c>
      <c r="AC124" s="10">
        <v>10457.379999999999</v>
      </c>
      <c r="AD124" s="10">
        <v>10099.540000000001</v>
      </c>
      <c r="AE124" s="10">
        <v>16508.18</v>
      </c>
      <c r="AF124" s="10">
        <v>11811.71</v>
      </c>
      <c r="AG124" s="10">
        <v>12149.49</v>
      </c>
      <c r="AH124" s="10">
        <f t="shared" si="2"/>
        <v>373860.61</v>
      </c>
      <c r="AI124" s="10">
        <f t="shared" si="3"/>
        <v>2215187.04</v>
      </c>
    </row>
    <row r="125" spans="1:35" x14ac:dyDescent="0.35">
      <c r="A125" s="9">
        <v>116</v>
      </c>
      <c r="B125" s="9" t="s">
        <v>309</v>
      </c>
      <c r="C125" s="9" t="s">
        <v>113</v>
      </c>
      <c r="D125" s="9" t="s">
        <v>114</v>
      </c>
      <c r="E125" s="9" t="s">
        <v>145</v>
      </c>
      <c r="F125" s="9" t="s">
        <v>310</v>
      </c>
      <c r="G125" s="9" t="s">
        <v>67</v>
      </c>
      <c r="H125" s="10">
        <v>103561.91</v>
      </c>
      <c r="I125" s="10">
        <v>0</v>
      </c>
      <c r="J125" s="10">
        <v>0</v>
      </c>
      <c r="K125" s="10">
        <v>0</v>
      </c>
      <c r="L125" s="10">
        <v>0</v>
      </c>
      <c r="M125" s="10">
        <v>0</v>
      </c>
      <c r="N125" s="10">
        <v>1137.32</v>
      </c>
      <c r="O125" s="10">
        <v>515.12</v>
      </c>
      <c r="P125" s="10">
        <v>729.64</v>
      </c>
      <c r="Q125" s="10">
        <v>390.89</v>
      </c>
      <c r="R125" s="10">
        <v>461.25</v>
      </c>
      <c r="S125" s="10">
        <v>1044.95</v>
      </c>
      <c r="T125" s="10">
        <v>3642.32</v>
      </c>
      <c r="U125" s="10">
        <v>3251.82</v>
      </c>
      <c r="V125" s="10">
        <v>1573.87</v>
      </c>
      <c r="W125" s="10">
        <v>435.55</v>
      </c>
      <c r="X125" s="10">
        <v>2565.6799999999998</v>
      </c>
      <c r="Y125" s="10">
        <v>1195.45</v>
      </c>
      <c r="Z125" s="10">
        <v>328.79</v>
      </c>
      <c r="AA125" s="10">
        <v>262.12</v>
      </c>
      <c r="AB125" s="10">
        <v>718.25</v>
      </c>
      <c r="AC125" s="10">
        <v>623.26</v>
      </c>
      <c r="AD125" s="10">
        <v>569.5</v>
      </c>
      <c r="AE125" s="10">
        <v>962.55</v>
      </c>
      <c r="AF125" s="10">
        <v>685.62</v>
      </c>
      <c r="AG125" s="10">
        <v>487.18</v>
      </c>
      <c r="AH125" s="10">
        <f t="shared" si="2"/>
        <v>21581.129999999997</v>
      </c>
      <c r="AI125" s="10">
        <f t="shared" si="3"/>
        <v>81980.78</v>
      </c>
    </row>
    <row r="126" spans="1:35" x14ac:dyDescent="0.35">
      <c r="A126" s="9">
        <v>117</v>
      </c>
      <c r="B126" s="9" t="s">
        <v>311</v>
      </c>
      <c r="C126" s="9" t="s">
        <v>113</v>
      </c>
      <c r="D126" s="9" t="s">
        <v>114</v>
      </c>
      <c r="E126" s="9" t="s">
        <v>145</v>
      </c>
      <c r="F126" s="9" t="s">
        <v>312</v>
      </c>
      <c r="G126" s="9" t="s">
        <v>67</v>
      </c>
      <c r="H126" s="10">
        <v>161556.57</v>
      </c>
      <c r="I126" s="10">
        <v>0</v>
      </c>
      <c r="J126" s="10">
        <v>0</v>
      </c>
      <c r="K126" s="10">
        <v>0</v>
      </c>
      <c r="L126" s="10">
        <v>0</v>
      </c>
      <c r="M126" s="10">
        <v>0</v>
      </c>
      <c r="N126" s="10">
        <v>1193.1400000000001</v>
      </c>
      <c r="O126" s="10">
        <v>546.44000000000005</v>
      </c>
      <c r="P126" s="10">
        <v>782.67</v>
      </c>
      <c r="Q126" s="10">
        <v>417.93</v>
      </c>
      <c r="R126" s="10">
        <v>491.45</v>
      </c>
      <c r="S126" s="10">
        <v>1128.19</v>
      </c>
      <c r="T126" s="10">
        <v>3811.62</v>
      </c>
      <c r="U126" s="10">
        <v>3403.06</v>
      </c>
      <c r="V126" s="10">
        <v>1645.52</v>
      </c>
      <c r="W126" s="10">
        <v>479.27</v>
      </c>
      <c r="X126" s="10">
        <v>2796.24</v>
      </c>
      <c r="Y126" s="10">
        <v>1298.3499999999999</v>
      </c>
      <c r="Z126" s="10">
        <v>517.34</v>
      </c>
      <c r="AA126" s="10">
        <v>294.18</v>
      </c>
      <c r="AB126" s="10">
        <v>746.72</v>
      </c>
      <c r="AC126" s="10">
        <v>649.14</v>
      </c>
      <c r="AD126" s="10">
        <v>624.29999999999995</v>
      </c>
      <c r="AE126" s="10">
        <v>1025.6500000000001</v>
      </c>
      <c r="AF126" s="10">
        <v>709.14</v>
      </c>
      <c r="AG126" s="10">
        <v>757.99</v>
      </c>
      <c r="AH126" s="10">
        <f t="shared" si="2"/>
        <v>23318.34</v>
      </c>
      <c r="AI126" s="10">
        <f t="shared" si="3"/>
        <v>138238.23000000001</v>
      </c>
    </row>
    <row r="127" spans="1:35" x14ac:dyDescent="0.35">
      <c r="A127" s="9">
        <v>118</v>
      </c>
      <c r="B127" s="9" t="s">
        <v>313</v>
      </c>
      <c r="C127" s="9" t="s">
        <v>113</v>
      </c>
      <c r="D127" s="9" t="s">
        <v>114</v>
      </c>
      <c r="E127" s="9" t="s">
        <v>145</v>
      </c>
      <c r="F127" s="9" t="s">
        <v>314</v>
      </c>
      <c r="G127" s="9" t="s">
        <v>67</v>
      </c>
      <c r="H127" s="10">
        <v>431507.94</v>
      </c>
      <c r="I127" s="10">
        <v>0</v>
      </c>
      <c r="J127" s="10">
        <v>0</v>
      </c>
      <c r="K127" s="10">
        <v>0</v>
      </c>
      <c r="L127" s="10">
        <v>0</v>
      </c>
      <c r="M127" s="10">
        <v>0</v>
      </c>
      <c r="N127" s="10">
        <v>2400.62</v>
      </c>
      <c r="O127" s="10">
        <v>1087.97</v>
      </c>
      <c r="P127" s="10">
        <v>1565.92</v>
      </c>
      <c r="Q127" s="10">
        <v>828.76</v>
      </c>
      <c r="R127" s="10">
        <v>971.04</v>
      </c>
      <c r="S127" s="10">
        <v>2251.6</v>
      </c>
      <c r="T127" s="10">
        <v>7657.24</v>
      </c>
      <c r="U127" s="10">
        <v>6820.27</v>
      </c>
      <c r="V127" s="10">
        <v>3273.34</v>
      </c>
      <c r="W127" s="10">
        <v>954.42</v>
      </c>
      <c r="X127" s="10">
        <v>5651.84</v>
      </c>
      <c r="Y127" s="10">
        <v>17.38</v>
      </c>
      <c r="Z127" s="10">
        <v>691.22</v>
      </c>
      <c r="AA127" s="10">
        <v>0</v>
      </c>
      <c r="AB127" s="10">
        <v>1490.32</v>
      </c>
      <c r="AC127" s="10">
        <v>1290.55</v>
      </c>
      <c r="AD127" s="10">
        <v>1226.3699999999999</v>
      </c>
      <c r="AE127" s="10">
        <v>2042.18</v>
      </c>
      <c r="AF127" s="10">
        <v>1434.91</v>
      </c>
      <c r="AG127" s="10">
        <v>22.06</v>
      </c>
      <c r="AH127" s="10">
        <f t="shared" si="2"/>
        <v>41678.010000000009</v>
      </c>
      <c r="AI127" s="10">
        <f t="shared" si="3"/>
        <v>389829.93</v>
      </c>
    </row>
    <row r="128" spans="1:35" x14ac:dyDescent="0.35">
      <c r="A128" s="9">
        <v>119</v>
      </c>
      <c r="B128" s="9" t="s">
        <v>315</v>
      </c>
      <c r="C128" s="9" t="s">
        <v>113</v>
      </c>
      <c r="D128" s="9" t="s">
        <v>114</v>
      </c>
      <c r="E128" s="9" t="s">
        <v>145</v>
      </c>
      <c r="F128" s="9" t="s">
        <v>316</v>
      </c>
      <c r="G128" s="9" t="s">
        <v>67</v>
      </c>
      <c r="H128" s="10">
        <v>308723.31</v>
      </c>
      <c r="I128" s="10">
        <v>0</v>
      </c>
      <c r="J128" s="10">
        <v>0</v>
      </c>
      <c r="K128" s="10">
        <v>0</v>
      </c>
      <c r="L128" s="10">
        <v>0</v>
      </c>
      <c r="M128" s="10">
        <v>0</v>
      </c>
      <c r="N128" s="10">
        <v>2711.78</v>
      </c>
      <c r="O128" s="10">
        <v>906.62</v>
      </c>
      <c r="P128" s="10">
        <v>1144.48</v>
      </c>
      <c r="Q128" s="10">
        <v>928.09</v>
      </c>
      <c r="R128" s="10">
        <v>1050.83</v>
      </c>
      <c r="S128" s="10">
        <v>1316.62</v>
      </c>
      <c r="T128" s="10">
        <v>5673.23</v>
      </c>
      <c r="U128" s="10">
        <v>7998.6</v>
      </c>
      <c r="V128" s="10">
        <v>3623.65</v>
      </c>
      <c r="W128" s="10">
        <v>1023.79</v>
      </c>
      <c r="X128" s="10">
        <v>6029.89</v>
      </c>
      <c r="Y128" s="10">
        <v>3569.76</v>
      </c>
      <c r="Z128" s="10">
        <v>825.13</v>
      </c>
      <c r="AA128" s="10">
        <v>783.46</v>
      </c>
      <c r="AB128" s="10">
        <v>1304.58</v>
      </c>
      <c r="AC128" s="10">
        <v>1487.45</v>
      </c>
      <c r="AD128" s="10">
        <v>1007.29</v>
      </c>
      <c r="AE128" s="10">
        <v>2004.47</v>
      </c>
      <c r="AF128" s="10">
        <v>1670.32</v>
      </c>
      <c r="AG128" s="10">
        <v>1387.6</v>
      </c>
      <c r="AH128" s="10">
        <f t="shared" si="2"/>
        <v>46447.64</v>
      </c>
      <c r="AI128" s="10">
        <f t="shared" si="3"/>
        <v>262275.67</v>
      </c>
    </row>
    <row r="129" spans="1:35" x14ac:dyDescent="0.35">
      <c r="A129" s="9">
        <v>120</v>
      </c>
      <c r="B129" s="9" t="s">
        <v>317</v>
      </c>
      <c r="C129" s="9" t="s">
        <v>113</v>
      </c>
      <c r="D129" s="9" t="s">
        <v>114</v>
      </c>
      <c r="E129" s="9" t="s">
        <v>145</v>
      </c>
      <c r="F129" s="9" t="s">
        <v>318</v>
      </c>
      <c r="G129" s="9" t="s">
        <v>67</v>
      </c>
      <c r="H129" s="10">
        <v>12348.93</v>
      </c>
      <c r="I129" s="10">
        <v>0</v>
      </c>
      <c r="J129" s="10">
        <v>0</v>
      </c>
      <c r="K129" s="10">
        <v>0</v>
      </c>
      <c r="L129" s="10">
        <v>0</v>
      </c>
      <c r="M129" s="10">
        <v>0</v>
      </c>
      <c r="N129" s="10">
        <v>161.47</v>
      </c>
      <c r="O129" s="10">
        <v>53.71</v>
      </c>
      <c r="P129" s="10">
        <v>59.04</v>
      </c>
      <c r="Q129" s="10">
        <v>54.21</v>
      </c>
      <c r="R129" s="10">
        <v>61.79</v>
      </c>
      <c r="S129" s="10">
        <v>78.319999999999993</v>
      </c>
      <c r="T129" s="10">
        <v>337.57</v>
      </c>
      <c r="U129" s="10">
        <v>477.99</v>
      </c>
      <c r="V129" s="10">
        <v>215.57</v>
      </c>
      <c r="W129" s="10">
        <v>59.92</v>
      </c>
      <c r="X129" s="10">
        <v>359.64</v>
      </c>
      <c r="Y129" s="10">
        <v>212.08</v>
      </c>
      <c r="Z129" s="10">
        <v>47.49</v>
      </c>
      <c r="AA129" s="10">
        <v>45.77</v>
      </c>
      <c r="AB129" s="10">
        <v>77.87</v>
      </c>
      <c r="AC129" s="10">
        <v>88.58</v>
      </c>
      <c r="AD129" s="10">
        <v>59.14</v>
      </c>
      <c r="AE129" s="10">
        <v>119.6</v>
      </c>
      <c r="AF129" s="10">
        <v>98.54</v>
      </c>
      <c r="AG129" s="10">
        <v>42.88</v>
      </c>
      <c r="AH129" s="10">
        <f t="shared" si="2"/>
        <v>2711.1799999999994</v>
      </c>
      <c r="AI129" s="10">
        <f t="shared" si="3"/>
        <v>9637.75</v>
      </c>
    </row>
    <row r="130" spans="1:35" x14ac:dyDescent="0.35">
      <c r="A130" s="9">
        <v>121</v>
      </c>
      <c r="B130" s="9" t="s">
        <v>319</v>
      </c>
      <c r="C130" s="9" t="s">
        <v>113</v>
      </c>
      <c r="D130" s="9" t="s">
        <v>114</v>
      </c>
      <c r="E130" s="9" t="s">
        <v>145</v>
      </c>
      <c r="F130" s="9" t="s">
        <v>320</v>
      </c>
      <c r="G130" s="9" t="s">
        <v>67</v>
      </c>
      <c r="H130" s="10">
        <v>19264.330000000002</v>
      </c>
      <c r="I130" s="10">
        <v>0</v>
      </c>
      <c r="J130" s="10">
        <v>0</v>
      </c>
      <c r="K130" s="10">
        <v>0</v>
      </c>
      <c r="L130" s="10">
        <v>0</v>
      </c>
      <c r="M130" s="10">
        <v>0</v>
      </c>
      <c r="N130" s="10">
        <v>168.38</v>
      </c>
      <c r="O130" s="10">
        <v>56.29</v>
      </c>
      <c r="P130" s="10">
        <v>71.06</v>
      </c>
      <c r="Q130" s="10">
        <v>57.65</v>
      </c>
      <c r="R130" s="10">
        <v>65.5</v>
      </c>
      <c r="S130" s="10">
        <v>81.75</v>
      </c>
      <c r="T130" s="10">
        <v>352.41</v>
      </c>
      <c r="U130" s="10">
        <v>496.09</v>
      </c>
      <c r="V130" s="10">
        <v>224.68</v>
      </c>
      <c r="W130" s="10">
        <v>63.6</v>
      </c>
      <c r="X130" s="10">
        <v>373.22</v>
      </c>
      <c r="Y130" s="10">
        <v>221.66</v>
      </c>
      <c r="Z130" s="10">
        <v>75.290000000000006</v>
      </c>
      <c r="AA130" s="10">
        <v>48.4</v>
      </c>
      <c r="AB130" s="10">
        <v>81</v>
      </c>
      <c r="AC130" s="10">
        <v>92.26</v>
      </c>
      <c r="AD130" s="10">
        <v>62.59</v>
      </c>
      <c r="AE130" s="10">
        <v>124.54</v>
      </c>
      <c r="AF130" s="10">
        <v>103.48</v>
      </c>
      <c r="AG130" s="10">
        <v>86.76</v>
      </c>
      <c r="AH130" s="10">
        <f t="shared" si="2"/>
        <v>2906.6100000000006</v>
      </c>
      <c r="AI130" s="10">
        <f t="shared" si="3"/>
        <v>16357.720000000001</v>
      </c>
    </row>
    <row r="131" spans="1:35" x14ac:dyDescent="0.35">
      <c r="A131" s="9">
        <v>122</v>
      </c>
      <c r="B131" s="9" t="s">
        <v>321</v>
      </c>
      <c r="C131" s="9" t="s">
        <v>113</v>
      </c>
      <c r="D131" s="9" t="s">
        <v>114</v>
      </c>
      <c r="E131" s="9" t="s">
        <v>145</v>
      </c>
      <c r="F131" s="9" t="s">
        <v>322</v>
      </c>
      <c r="G131" s="9" t="s">
        <v>67</v>
      </c>
      <c r="H131" s="10">
        <v>51453.88</v>
      </c>
      <c r="I131" s="10">
        <v>0</v>
      </c>
      <c r="J131" s="10">
        <v>0</v>
      </c>
      <c r="K131" s="10">
        <v>0</v>
      </c>
      <c r="L131" s="10">
        <v>0</v>
      </c>
      <c r="M131" s="10">
        <v>0</v>
      </c>
      <c r="N131" s="10">
        <v>335.46</v>
      </c>
      <c r="O131" s="10">
        <v>111.35</v>
      </c>
      <c r="P131" s="10">
        <v>142.58000000000001</v>
      </c>
      <c r="Q131" s="10">
        <v>114.2</v>
      </c>
      <c r="R131" s="10">
        <v>129.28</v>
      </c>
      <c r="S131" s="10">
        <v>162.88</v>
      </c>
      <c r="T131" s="10">
        <v>701.8</v>
      </c>
      <c r="U131" s="10">
        <v>989.45</v>
      </c>
      <c r="V131" s="10">
        <v>448.29</v>
      </c>
      <c r="W131" s="10">
        <v>126.65</v>
      </c>
      <c r="X131" s="10">
        <v>745.97</v>
      </c>
      <c r="Y131" s="10">
        <v>0</v>
      </c>
      <c r="Z131" s="10">
        <v>100.6</v>
      </c>
      <c r="AA131" s="10">
        <v>0</v>
      </c>
      <c r="AB131" s="10">
        <v>161.38</v>
      </c>
      <c r="AC131" s="10">
        <v>182.2</v>
      </c>
      <c r="AD131" s="10">
        <v>124.63</v>
      </c>
      <c r="AE131" s="10">
        <v>247.95</v>
      </c>
      <c r="AF131" s="10">
        <v>206.17</v>
      </c>
      <c r="AG131" s="10">
        <v>0</v>
      </c>
      <c r="AH131" s="10">
        <f t="shared" si="2"/>
        <v>5030.84</v>
      </c>
      <c r="AI131" s="10">
        <f t="shared" si="3"/>
        <v>46423.039999999994</v>
      </c>
    </row>
    <row r="132" spans="1:35" x14ac:dyDescent="0.35">
      <c r="A132" s="9">
        <v>123</v>
      </c>
      <c r="B132" s="9" t="s">
        <v>323</v>
      </c>
      <c r="C132" s="9" t="s">
        <v>113</v>
      </c>
      <c r="D132" s="9" t="s">
        <v>114</v>
      </c>
      <c r="E132" s="9" t="s">
        <v>186</v>
      </c>
      <c r="F132" s="9" t="s">
        <v>324</v>
      </c>
      <c r="G132" s="9" t="s">
        <v>67</v>
      </c>
      <c r="H132" s="10">
        <v>39555.22</v>
      </c>
      <c r="I132" s="10">
        <v>0</v>
      </c>
      <c r="J132" s="10">
        <v>0</v>
      </c>
      <c r="K132" s="10">
        <v>0</v>
      </c>
      <c r="L132" s="10">
        <v>0</v>
      </c>
      <c r="M132" s="10">
        <v>0</v>
      </c>
      <c r="N132" s="10">
        <v>324.86</v>
      </c>
      <c r="O132" s="10">
        <v>129.94999999999999</v>
      </c>
      <c r="P132" s="10">
        <v>129.94999999999999</v>
      </c>
      <c r="Q132" s="10">
        <v>130</v>
      </c>
      <c r="R132" s="10">
        <v>130.46</v>
      </c>
      <c r="S132" s="10">
        <v>129.94999999999999</v>
      </c>
      <c r="T132" s="10">
        <v>520.87</v>
      </c>
      <c r="U132" s="10">
        <v>845.03</v>
      </c>
      <c r="V132" s="10">
        <v>651.25</v>
      </c>
      <c r="W132" s="10">
        <v>194.92</v>
      </c>
      <c r="X132" s="10">
        <v>844.65</v>
      </c>
      <c r="Y132" s="10">
        <v>521</v>
      </c>
      <c r="Z132" s="10">
        <v>129.94999999999999</v>
      </c>
      <c r="AA132" s="10">
        <v>129.94999999999999</v>
      </c>
      <c r="AB132" s="10">
        <v>194.92</v>
      </c>
      <c r="AC132" s="10">
        <v>194.92</v>
      </c>
      <c r="AD132" s="10">
        <v>130</v>
      </c>
      <c r="AE132" s="10">
        <v>259.89</v>
      </c>
      <c r="AF132" s="10">
        <v>195.37</v>
      </c>
      <c r="AG132" s="10">
        <v>162.72</v>
      </c>
      <c r="AH132" s="10">
        <f t="shared" si="2"/>
        <v>5950.61</v>
      </c>
      <c r="AI132" s="10">
        <f t="shared" si="3"/>
        <v>33604.61</v>
      </c>
    </row>
    <row r="133" spans="1:35" x14ac:dyDescent="0.35">
      <c r="A133" s="9">
        <v>124</v>
      </c>
      <c r="B133" s="9" t="s">
        <v>325</v>
      </c>
      <c r="C133" s="9" t="s">
        <v>113</v>
      </c>
      <c r="D133" s="9" t="s">
        <v>326</v>
      </c>
      <c r="E133" s="9" t="s">
        <v>118</v>
      </c>
      <c r="F133" s="9" t="s">
        <v>327</v>
      </c>
      <c r="G133" s="9" t="s">
        <v>41</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c r="AC133" s="10">
        <v>0</v>
      </c>
      <c r="AD133" s="10">
        <v>0</v>
      </c>
      <c r="AE133" s="10">
        <v>0</v>
      </c>
      <c r="AF133" s="10">
        <v>0</v>
      </c>
      <c r="AG133" s="10">
        <v>0</v>
      </c>
      <c r="AH133" s="10">
        <f t="shared" si="2"/>
        <v>0</v>
      </c>
      <c r="AI133" s="10">
        <f t="shared" si="3"/>
        <v>0</v>
      </c>
    </row>
    <row r="134" spans="1:35" x14ac:dyDescent="0.35">
      <c r="A134" s="9">
        <v>125</v>
      </c>
      <c r="B134" s="9" t="s">
        <v>328</v>
      </c>
      <c r="C134" s="9" t="s">
        <v>113</v>
      </c>
      <c r="D134" s="9" t="s">
        <v>326</v>
      </c>
      <c r="E134" s="9" t="s">
        <v>110</v>
      </c>
      <c r="F134" s="9" t="s">
        <v>329</v>
      </c>
      <c r="G134" s="9" t="s">
        <v>67</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c r="AC134" s="10">
        <v>0</v>
      </c>
      <c r="AD134" s="10">
        <v>0</v>
      </c>
      <c r="AE134" s="10">
        <v>0</v>
      </c>
      <c r="AF134" s="10">
        <v>0</v>
      </c>
      <c r="AG134" s="10">
        <v>0</v>
      </c>
      <c r="AH134" s="10">
        <f t="shared" si="2"/>
        <v>0</v>
      </c>
      <c r="AI134" s="10">
        <f t="shared" si="3"/>
        <v>0</v>
      </c>
    </row>
    <row r="135" spans="1:35" x14ac:dyDescent="0.35">
      <c r="A135" s="9">
        <v>126</v>
      </c>
      <c r="B135" s="9" t="s">
        <v>330</v>
      </c>
      <c r="C135" s="9" t="s">
        <v>113</v>
      </c>
      <c r="D135" s="9" t="s">
        <v>114</v>
      </c>
      <c r="E135" s="9" t="s">
        <v>331</v>
      </c>
      <c r="F135" s="9" t="s">
        <v>332</v>
      </c>
      <c r="G135" s="9" t="s">
        <v>41</v>
      </c>
      <c r="H135" s="10">
        <v>0</v>
      </c>
      <c r="I135" s="10">
        <v>0</v>
      </c>
      <c r="J135" s="10">
        <v>0</v>
      </c>
      <c r="K135" s="10">
        <v>0</v>
      </c>
      <c r="L135" s="10">
        <v>0</v>
      </c>
      <c r="M135" s="10">
        <v>0</v>
      </c>
      <c r="N135" s="10">
        <v>0</v>
      </c>
      <c r="O135" s="10">
        <v>0</v>
      </c>
      <c r="P135" s="10">
        <v>0</v>
      </c>
      <c r="Q135" s="10">
        <v>0</v>
      </c>
      <c r="R135" s="10">
        <v>0</v>
      </c>
      <c r="S135" s="10">
        <v>0</v>
      </c>
      <c r="T135" s="10">
        <v>0</v>
      </c>
      <c r="U135" s="10">
        <v>0</v>
      </c>
      <c r="V135" s="10">
        <v>0</v>
      </c>
      <c r="W135" s="10">
        <v>0</v>
      </c>
      <c r="X135" s="10">
        <v>0</v>
      </c>
      <c r="Y135" s="10">
        <v>0</v>
      </c>
      <c r="Z135" s="10">
        <v>0</v>
      </c>
      <c r="AA135" s="10">
        <v>0</v>
      </c>
      <c r="AB135" s="10">
        <v>0</v>
      </c>
      <c r="AC135" s="10">
        <v>0</v>
      </c>
      <c r="AD135" s="10">
        <v>0</v>
      </c>
      <c r="AE135" s="10">
        <v>0</v>
      </c>
      <c r="AF135" s="10">
        <v>0</v>
      </c>
      <c r="AG135" s="10">
        <v>0</v>
      </c>
      <c r="AH135" s="10">
        <f t="shared" si="2"/>
        <v>0</v>
      </c>
      <c r="AI135" s="10">
        <f t="shared" si="3"/>
        <v>0</v>
      </c>
    </row>
    <row r="136" spans="1:35" x14ac:dyDescent="0.35">
      <c r="A136" s="9">
        <v>127</v>
      </c>
      <c r="B136" s="9" t="s">
        <v>333</v>
      </c>
      <c r="C136" s="9" t="s">
        <v>133</v>
      </c>
      <c r="D136" s="9" t="s">
        <v>136</v>
      </c>
      <c r="E136" s="9" t="s">
        <v>118</v>
      </c>
      <c r="F136" s="9" t="s">
        <v>334</v>
      </c>
      <c r="G136" s="9" t="s">
        <v>41</v>
      </c>
      <c r="H136" s="10">
        <v>0</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c r="AA136" s="10">
        <v>0</v>
      </c>
      <c r="AB136" s="10">
        <v>0</v>
      </c>
      <c r="AC136" s="10">
        <v>0</v>
      </c>
      <c r="AD136" s="10">
        <v>0</v>
      </c>
      <c r="AE136" s="10">
        <v>0</v>
      </c>
      <c r="AF136" s="10">
        <v>0</v>
      </c>
      <c r="AG136" s="10">
        <v>0</v>
      </c>
      <c r="AH136" s="10">
        <f t="shared" si="2"/>
        <v>0</v>
      </c>
      <c r="AI136" s="10">
        <f t="shared" si="3"/>
        <v>0</v>
      </c>
    </row>
    <row r="137" spans="1:35" x14ac:dyDescent="0.35">
      <c r="A137" s="9">
        <v>128</v>
      </c>
      <c r="B137" s="9" t="s">
        <v>335</v>
      </c>
      <c r="C137" s="9" t="s">
        <v>133</v>
      </c>
      <c r="D137" s="9" t="s">
        <v>136</v>
      </c>
      <c r="E137" s="9" t="s">
        <v>118</v>
      </c>
      <c r="F137" s="9" t="s">
        <v>336</v>
      </c>
      <c r="G137" s="9" t="s">
        <v>41</v>
      </c>
      <c r="H137" s="10">
        <v>16299.96</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c r="AC137" s="10">
        <v>0</v>
      </c>
      <c r="AD137" s="10">
        <v>0</v>
      </c>
      <c r="AE137" s="10">
        <v>0</v>
      </c>
      <c r="AF137" s="10">
        <v>0</v>
      </c>
      <c r="AG137" s="10">
        <v>0</v>
      </c>
      <c r="AH137" s="10">
        <f t="shared" si="2"/>
        <v>0</v>
      </c>
      <c r="AI137" s="10">
        <f t="shared" si="3"/>
        <v>16299.96</v>
      </c>
    </row>
    <row r="138" spans="1:35" x14ac:dyDescent="0.35">
      <c r="A138" s="9">
        <v>129</v>
      </c>
      <c r="B138" s="9" t="s">
        <v>337</v>
      </c>
      <c r="C138" s="9" t="s">
        <v>123</v>
      </c>
      <c r="D138" s="9" t="s">
        <v>216</v>
      </c>
      <c r="E138" s="9" t="s">
        <v>118</v>
      </c>
      <c r="F138" s="9" t="s">
        <v>338</v>
      </c>
      <c r="G138" s="9" t="s">
        <v>41</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c r="AC138" s="10">
        <v>0</v>
      </c>
      <c r="AD138" s="10">
        <v>0</v>
      </c>
      <c r="AE138" s="10">
        <v>0</v>
      </c>
      <c r="AF138" s="10">
        <v>0</v>
      </c>
      <c r="AG138" s="10">
        <v>0</v>
      </c>
      <c r="AH138" s="10">
        <f t="shared" si="2"/>
        <v>0</v>
      </c>
      <c r="AI138" s="10">
        <f t="shared" si="3"/>
        <v>0</v>
      </c>
    </row>
    <row r="139" spans="1:35" x14ac:dyDescent="0.35">
      <c r="A139" s="9">
        <v>130</v>
      </c>
      <c r="B139" s="9" t="s">
        <v>339</v>
      </c>
      <c r="C139" s="9" t="s">
        <v>123</v>
      </c>
      <c r="D139" s="9" t="s">
        <v>340</v>
      </c>
      <c r="E139" s="9" t="s">
        <v>341</v>
      </c>
      <c r="F139" s="9" t="s">
        <v>342</v>
      </c>
      <c r="G139" s="9" t="s">
        <v>41</v>
      </c>
      <c r="H139" s="10">
        <v>157817.26</v>
      </c>
      <c r="I139" s="10">
        <v>0</v>
      </c>
      <c r="J139" s="10">
        <v>0</v>
      </c>
      <c r="K139" s="10">
        <v>0</v>
      </c>
      <c r="L139" s="10">
        <v>0</v>
      </c>
      <c r="M139" s="10">
        <v>0</v>
      </c>
      <c r="N139" s="10">
        <v>0</v>
      </c>
      <c r="O139" s="10">
        <v>0</v>
      </c>
      <c r="P139" s="10">
        <v>0</v>
      </c>
      <c r="Q139" s="10">
        <v>0</v>
      </c>
      <c r="R139" s="10">
        <v>0</v>
      </c>
      <c r="S139" s="10">
        <v>0</v>
      </c>
      <c r="T139" s="10">
        <v>0</v>
      </c>
      <c r="U139" s="10">
        <v>0</v>
      </c>
      <c r="V139" s="10">
        <v>0</v>
      </c>
      <c r="W139" s="10">
        <v>0</v>
      </c>
      <c r="X139" s="10">
        <v>0</v>
      </c>
      <c r="Y139" s="10">
        <v>0</v>
      </c>
      <c r="Z139" s="10">
        <v>0</v>
      </c>
      <c r="AA139" s="10">
        <v>0</v>
      </c>
      <c r="AB139" s="10">
        <v>0</v>
      </c>
      <c r="AC139" s="10">
        <v>0</v>
      </c>
      <c r="AD139" s="10">
        <v>0</v>
      </c>
      <c r="AE139" s="10">
        <v>0</v>
      </c>
      <c r="AF139" s="10">
        <v>0</v>
      </c>
      <c r="AG139" s="10">
        <v>0</v>
      </c>
      <c r="AH139" s="10">
        <f t="shared" ref="AH139:AH188" si="4">SUM(I139:AG139)</f>
        <v>0</v>
      </c>
      <c r="AI139" s="10">
        <f t="shared" ref="AI139:AI188" si="5">H139-AH139</f>
        <v>157817.26</v>
      </c>
    </row>
    <row r="140" spans="1:35" x14ac:dyDescent="0.35">
      <c r="A140" s="9">
        <v>131</v>
      </c>
      <c r="B140" s="9" t="s">
        <v>343</v>
      </c>
      <c r="C140" s="9" t="s">
        <v>123</v>
      </c>
      <c r="D140" s="9" t="s">
        <v>124</v>
      </c>
      <c r="E140" s="9" t="s">
        <v>344</v>
      </c>
      <c r="F140" s="9" t="s">
        <v>345</v>
      </c>
      <c r="G140" s="9" t="s">
        <v>41</v>
      </c>
      <c r="H140" s="10">
        <v>0</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c r="AA140" s="10">
        <v>0</v>
      </c>
      <c r="AB140" s="10">
        <v>0</v>
      </c>
      <c r="AC140" s="10">
        <v>0</v>
      </c>
      <c r="AD140" s="10">
        <v>0</v>
      </c>
      <c r="AE140" s="10">
        <v>0</v>
      </c>
      <c r="AF140" s="10">
        <v>0</v>
      </c>
      <c r="AG140" s="10">
        <v>0</v>
      </c>
      <c r="AH140" s="10">
        <f t="shared" si="4"/>
        <v>0</v>
      </c>
      <c r="AI140" s="10">
        <f t="shared" si="5"/>
        <v>0</v>
      </c>
    </row>
    <row r="141" spans="1:35" x14ac:dyDescent="0.35">
      <c r="A141" s="9">
        <v>132</v>
      </c>
      <c r="B141" s="9" t="s">
        <v>346</v>
      </c>
      <c r="C141" s="9" t="s">
        <v>123</v>
      </c>
      <c r="D141" s="9" t="s">
        <v>124</v>
      </c>
      <c r="E141" s="9" t="s">
        <v>186</v>
      </c>
      <c r="F141" s="9" t="s">
        <v>347</v>
      </c>
      <c r="G141" s="9" t="s">
        <v>41</v>
      </c>
      <c r="H141" s="10">
        <v>0</v>
      </c>
      <c r="I141" s="10">
        <v>0</v>
      </c>
      <c r="J141" s="10">
        <v>0</v>
      </c>
      <c r="K141" s="10">
        <v>0</v>
      </c>
      <c r="L141" s="10">
        <v>0</v>
      </c>
      <c r="M141" s="10">
        <v>0</v>
      </c>
      <c r="N141" s="10">
        <v>0</v>
      </c>
      <c r="O141" s="10">
        <v>0</v>
      </c>
      <c r="P141" s="10">
        <v>0</v>
      </c>
      <c r="Q141" s="10">
        <v>0</v>
      </c>
      <c r="R141" s="10">
        <v>0</v>
      </c>
      <c r="S141" s="10">
        <v>0</v>
      </c>
      <c r="T141" s="10">
        <v>0</v>
      </c>
      <c r="U141" s="10">
        <v>0</v>
      </c>
      <c r="V141" s="10">
        <v>0</v>
      </c>
      <c r="W141" s="10">
        <v>0</v>
      </c>
      <c r="X141" s="10">
        <v>0</v>
      </c>
      <c r="Y141" s="10">
        <v>0</v>
      </c>
      <c r="Z141" s="10">
        <v>0</v>
      </c>
      <c r="AA141" s="10">
        <v>0</v>
      </c>
      <c r="AB141" s="10">
        <v>0</v>
      </c>
      <c r="AC141" s="10">
        <v>0</v>
      </c>
      <c r="AD141" s="10">
        <v>0</v>
      </c>
      <c r="AE141" s="10">
        <v>0</v>
      </c>
      <c r="AF141" s="10">
        <v>0</v>
      </c>
      <c r="AG141" s="10">
        <v>0</v>
      </c>
      <c r="AH141" s="10">
        <f t="shared" si="4"/>
        <v>0</v>
      </c>
      <c r="AI141" s="10">
        <f t="shared" si="5"/>
        <v>0</v>
      </c>
    </row>
    <row r="142" spans="1:35" x14ac:dyDescent="0.35">
      <c r="A142" s="9">
        <v>133</v>
      </c>
      <c r="B142" s="9" t="s">
        <v>348</v>
      </c>
      <c r="C142" s="9" t="s">
        <v>139</v>
      </c>
      <c r="D142" s="9" t="s">
        <v>349</v>
      </c>
      <c r="E142" s="9" t="s">
        <v>213</v>
      </c>
      <c r="F142" s="9" t="s">
        <v>350</v>
      </c>
      <c r="G142" s="9" t="s">
        <v>41</v>
      </c>
      <c r="H142" s="10">
        <v>15041.43</v>
      </c>
      <c r="I142" s="10">
        <v>1251.68</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c r="AA142" s="10">
        <v>0</v>
      </c>
      <c r="AB142" s="10">
        <v>0</v>
      </c>
      <c r="AC142" s="10">
        <v>0</v>
      </c>
      <c r="AD142" s="10">
        <v>0</v>
      </c>
      <c r="AE142" s="10">
        <v>0</v>
      </c>
      <c r="AF142" s="10">
        <v>0</v>
      </c>
      <c r="AG142" s="10">
        <v>0</v>
      </c>
      <c r="AH142" s="10">
        <f t="shared" si="4"/>
        <v>1251.68</v>
      </c>
      <c r="AI142" s="10">
        <f t="shared" si="5"/>
        <v>13789.75</v>
      </c>
    </row>
    <row r="143" spans="1:35" x14ac:dyDescent="0.35">
      <c r="A143" s="9">
        <v>134</v>
      </c>
      <c r="B143" s="9" t="s">
        <v>351</v>
      </c>
      <c r="C143" s="9" t="s">
        <v>133</v>
      </c>
      <c r="D143" s="9" t="s">
        <v>136</v>
      </c>
      <c r="E143" s="9" t="s">
        <v>213</v>
      </c>
      <c r="F143" s="9" t="s">
        <v>352</v>
      </c>
      <c r="G143" s="9" t="s">
        <v>41</v>
      </c>
      <c r="H143" s="10">
        <v>0</v>
      </c>
      <c r="I143" s="10">
        <v>0</v>
      </c>
      <c r="J143" s="10">
        <v>0</v>
      </c>
      <c r="K143" s="10">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f t="shared" si="4"/>
        <v>0</v>
      </c>
      <c r="AI143" s="10">
        <f t="shared" si="5"/>
        <v>0</v>
      </c>
    </row>
    <row r="144" spans="1:35" x14ac:dyDescent="0.35">
      <c r="A144" s="9">
        <v>135</v>
      </c>
      <c r="B144" s="9" t="s">
        <v>353</v>
      </c>
      <c r="C144" s="9" t="s">
        <v>133</v>
      </c>
      <c r="D144" s="9" t="s">
        <v>136</v>
      </c>
      <c r="E144" s="9" t="s">
        <v>118</v>
      </c>
      <c r="F144" s="9" t="s">
        <v>354</v>
      </c>
      <c r="G144" s="9" t="s">
        <v>41</v>
      </c>
      <c r="H144" s="10">
        <v>0</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f t="shared" si="4"/>
        <v>0</v>
      </c>
      <c r="AI144" s="10">
        <f t="shared" si="5"/>
        <v>0</v>
      </c>
    </row>
    <row r="145" spans="1:35" x14ac:dyDescent="0.35">
      <c r="A145" s="9">
        <v>136</v>
      </c>
      <c r="B145" s="9" t="s">
        <v>355</v>
      </c>
      <c r="C145" s="9" t="s">
        <v>123</v>
      </c>
      <c r="D145" s="9" t="s">
        <v>128</v>
      </c>
      <c r="E145" s="9" t="s">
        <v>118</v>
      </c>
      <c r="F145" s="9" t="s">
        <v>356</v>
      </c>
      <c r="G145" s="9" t="s">
        <v>41</v>
      </c>
      <c r="H145" s="10">
        <v>48441.52</v>
      </c>
      <c r="I145" s="10">
        <v>0</v>
      </c>
      <c r="J145" s="10">
        <v>0</v>
      </c>
      <c r="K145" s="10">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f t="shared" si="4"/>
        <v>0</v>
      </c>
      <c r="AI145" s="10">
        <f t="shared" si="5"/>
        <v>48441.52</v>
      </c>
    </row>
    <row r="146" spans="1:35" x14ac:dyDescent="0.35">
      <c r="A146" s="9">
        <v>137</v>
      </c>
      <c r="B146" s="9" t="s">
        <v>357</v>
      </c>
      <c r="C146" s="9" t="s">
        <v>123</v>
      </c>
      <c r="D146" s="9" t="s">
        <v>124</v>
      </c>
      <c r="E146" s="9" t="s">
        <v>110</v>
      </c>
      <c r="F146" s="9" t="s">
        <v>358</v>
      </c>
      <c r="G146" s="9" t="s">
        <v>41</v>
      </c>
      <c r="H146" s="10">
        <v>0</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f t="shared" si="4"/>
        <v>0</v>
      </c>
      <c r="AI146" s="10">
        <f t="shared" si="5"/>
        <v>0</v>
      </c>
    </row>
    <row r="147" spans="1:35" x14ac:dyDescent="0.35">
      <c r="A147" s="9">
        <v>138</v>
      </c>
      <c r="B147" s="9" t="s">
        <v>359</v>
      </c>
      <c r="C147" s="9" t="s">
        <v>123</v>
      </c>
      <c r="D147" s="9" t="s">
        <v>216</v>
      </c>
      <c r="E147" s="9" t="s">
        <v>110</v>
      </c>
      <c r="F147" s="9" t="s">
        <v>360</v>
      </c>
      <c r="G147" s="9" t="s">
        <v>41</v>
      </c>
      <c r="H147" s="10">
        <v>0</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f t="shared" si="4"/>
        <v>0</v>
      </c>
      <c r="AI147" s="10">
        <f t="shared" si="5"/>
        <v>0</v>
      </c>
    </row>
    <row r="148" spans="1:35" x14ac:dyDescent="0.35">
      <c r="A148" s="9">
        <v>139</v>
      </c>
      <c r="B148" s="9" t="s">
        <v>361</v>
      </c>
      <c r="C148" s="9" t="s">
        <v>113</v>
      </c>
      <c r="D148" s="9" t="s">
        <v>114</v>
      </c>
      <c r="E148" s="9" t="s">
        <v>75</v>
      </c>
      <c r="F148" s="9" t="s">
        <v>362</v>
      </c>
      <c r="G148" s="9" t="s">
        <v>67</v>
      </c>
      <c r="H148" s="10">
        <v>66626.62</v>
      </c>
      <c r="I148" s="10">
        <v>0</v>
      </c>
      <c r="J148" s="10">
        <v>0</v>
      </c>
      <c r="K148" s="10">
        <v>0</v>
      </c>
      <c r="L148" s="10">
        <v>0</v>
      </c>
      <c r="M148" s="10">
        <v>0</v>
      </c>
      <c r="N148" s="10">
        <v>432.76</v>
      </c>
      <c r="O148" s="10">
        <v>215.2</v>
      </c>
      <c r="P148" s="10">
        <v>149.41</v>
      </c>
      <c r="Q148" s="10">
        <v>257.14</v>
      </c>
      <c r="R148" s="10">
        <v>340.95</v>
      </c>
      <c r="S148" s="10">
        <v>369.85</v>
      </c>
      <c r="T148" s="10">
        <v>170.64</v>
      </c>
      <c r="U148" s="10">
        <v>872.88</v>
      </c>
      <c r="V148" s="10">
        <v>2097.0700000000002</v>
      </c>
      <c r="W148" s="10">
        <v>781.01</v>
      </c>
      <c r="X148" s="10">
        <v>958.13</v>
      </c>
      <c r="Y148" s="10">
        <v>443.16</v>
      </c>
      <c r="Z148" s="10">
        <v>281.41000000000003</v>
      </c>
      <c r="AA148" s="10">
        <v>158.6</v>
      </c>
      <c r="AB148" s="10">
        <v>493.26</v>
      </c>
      <c r="AC148" s="10">
        <v>187.08</v>
      </c>
      <c r="AD148" s="10">
        <v>355.15</v>
      </c>
      <c r="AE148" s="10">
        <v>292.88</v>
      </c>
      <c r="AF148" s="10">
        <v>265.12</v>
      </c>
      <c r="AG148" s="10">
        <v>87.55</v>
      </c>
      <c r="AH148" s="10">
        <f t="shared" si="4"/>
        <v>9209.25</v>
      </c>
      <c r="AI148" s="10">
        <f t="shared" si="5"/>
        <v>57417.369999999995</v>
      </c>
    </row>
    <row r="149" spans="1:35" x14ac:dyDescent="0.35">
      <c r="A149" s="9">
        <v>140</v>
      </c>
      <c r="B149" s="9" t="s">
        <v>363</v>
      </c>
      <c r="C149" s="9" t="s">
        <v>123</v>
      </c>
      <c r="D149" s="9" t="s">
        <v>128</v>
      </c>
      <c r="E149" s="9" t="s">
        <v>75</v>
      </c>
      <c r="F149" s="9" t="s">
        <v>364</v>
      </c>
      <c r="G149" s="9" t="s">
        <v>83</v>
      </c>
      <c r="H149" s="10">
        <v>49041.3</v>
      </c>
      <c r="I149" s="10">
        <v>0</v>
      </c>
      <c r="J149" s="10">
        <v>0</v>
      </c>
      <c r="K149" s="10">
        <v>7217.52</v>
      </c>
      <c r="L149" s="10">
        <v>11170.33</v>
      </c>
      <c r="M149" s="10">
        <v>9776.83</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f t="shared" si="4"/>
        <v>28164.68</v>
      </c>
      <c r="AI149" s="10">
        <f t="shared" si="5"/>
        <v>20876.620000000003</v>
      </c>
    </row>
    <row r="150" spans="1:35" x14ac:dyDescent="0.35">
      <c r="A150" s="9">
        <v>141</v>
      </c>
      <c r="B150" s="9" t="s">
        <v>365</v>
      </c>
      <c r="C150" s="9" t="s">
        <v>113</v>
      </c>
      <c r="D150" s="9" t="s">
        <v>114</v>
      </c>
      <c r="E150" s="9" t="s">
        <v>283</v>
      </c>
      <c r="F150" s="9" t="s">
        <v>366</v>
      </c>
      <c r="G150" s="9" t="s">
        <v>41</v>
      </c>
      <c r="H150" s="10">
        <v>0</v>
      </c>
      <c r="I150" s="10">
        <v>0</v>
      </c>
      <c r="J150" s="10">
        <v>0</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f t="shared" si="4"/>
        <v>0</v>
      </c>
      <c r="AI150" s="10">
        <f t="shared" si="5"/>
        <v>0</v>
      </c>
    </row>
    <row r="151" spans="1:35" x14ac:dyDescent="0.35">
      <c r="A151" s="9">
        <v>142</v>
      </c>
      <c r="B151" s="9" t="s">
        <v>367</v>
      </c>
      <c r="C151" s="9" t="s">
        <v>133</v>
      </c>
      <c r="D151" s="9" t="s">
        <v>136</v>
      </c>
      <c r="E151" s="9" t="s">
        <v>213</v>
      </c>
      <c r="F151" s="9" t="s">
        <v>368</v>
      </c>
      <c r="G151" s="9" t="s">
        <v>41</v>
      </c>
      <c r="H151" s="10">
        <v>10066.48</v>
      </c>
      <c r="I151" s="10">
        <v>1343.54</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f t="shared" si="4"/>
        <v>1343.54</v>
      </c>
      <c r="AI151" s="10">
        <f t="shared" si="5"/>
        <v>8722.9399999999987</v>
      </c>
    </row>
    <row r="152" spans="1:35" x14ac:dyDescent="0.35">
      <c r="A152" s="9">
        <v>143</v>
      </c>
      <c r="B152" s="9" t="s">
        <v>369</v>
      </c>
      <c r="C152" s="9" t="s">
        <v>133</v>
      </c>
      <c r="D152" s="9" t="s">
        <v>136</v>
      </c>
      <c r="E152" s="9" t="s">
        <v>186</v>
      </c>
      <c r="F152" s="9" t="s">
        <v>370</v>
      </c>
      <c r="G152" s="9" t="s">
        <v>83</v>
      </c>
      <c r="H152" s="10">
        <v>0</v>
      </c>
      <c r="I152" s="10">
        <v>0</v>
      </c>
      <c r="J152" s="10">
        <v>0</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f t="shared" si="4"/>
        <v>0</v>
      </c>
      <c r="AI152" s="10">
        <f t="shared" si="5"/>
        <v>0</v>
      </c>
    </row>
    <row r="153" spans="1:35" x14ac:dyDescent="0.35">
      <c r="A153" s="9">
        <v>144</v>
      </c>
      <c r="B153" s="9" t="s">
        <v>371</v>
      </c>
      <c r="C153" s="9" t="s">
        <v>37</v>
      </c>
      <c r="D153" s="9" t="s">
        <v>38</v>
      </c>
      <c r="E153" s="9" t="s">
        <v>90</v>
      </c>
      <c r="F153" s="9" t="s">
        <v>372</v>
      </c>
      <c r="G153" s="9" t="s">
        <v>41</v>
      </c>
      <c r="H153" s="10">
        <v>0</v>
      </c>
      <c r="I153" s="10">
        <v>0</v>
      </c>
      <c r="J153" s="10">
        <v>0</v>
      </c>
      <c r="K153" s="10">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f t="shared" si="4"/>
        <v>0</v>
      </c>
      <c r="AI153" s="10">
        <f t="shared" si="5"/>
        <v>0</v>
      </c>
    </row>
    <row r="154" spans="1:35" x14ac:dyDescent="0.35">
      <c r="A154" s="9">
        <v>145</v>
      </c>
      <c r="B154" s="9" t="s">
        <v>373</v>
      </c>
      <c r="C154" s="9" t="s">
        <v>133</v>
      </c>
      <c r="D154" s="9" t="s">
        <v>136</v>
      </c>
      <c r="E154" s="9" t="s">
        <v>213</v>
      </c>
      <c r="F154" s="9" t="s">
        <v>374</v>
      </c>
      <c r="G154" s="9" t="s">
        <v>41</v>
      </c>
      <c r="H154" s="10">
        <v>9400.75</v>
      </c>
      <c r="I154" s="10">
        <v>1255.1300000000001</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f t="shared" si="4"/>
        <v>1255.1300000000001</v>
      </c>
      <c r="AI154" s="10">
        <f t="shared" si="5"/>
        <v>8145.62</v>
      </c>
    </row>
    <row r="155" spans="1:35" x14ac:dyDescent="0.35">
      <c r="A155" s="9">
        <v>146</v>
      </c>
      <c r="B155" s="9" t="s">
        <v>375</v>
      </c>
      <c r="C155" s="9" t="s">
        <v>133</v>
      </c>
      <c r="D155" s="9" t="s">
        <v>136</v>
      </c>
      <c r="E155" s="9" t="s">
        <v>213</v>
      </c>
      <c r="F155" s="9" t="s">
        <v>376</v>
      </c>
      <c r="G155" s="9" t="s">
        <v>41</v>
      </c>
      <c r="H155" s="10">
        <v>20938.29</v>
      </c>
      <c r="I155" s="10">
        <v>0</v>
      </c>
      <c r="J155" s="10">
        <v>0</v>
      </c>
      <c r="K155" s="10">
        <v>952.82</v>
      </c>
      <c r="L155" s="10">
        <v>1053.92</v>
      </c>
      <c r="M155" s="10">
        <v>952.69</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f t="shared" si="4"/>
        <v>2959.4300000000003</v>
      </c>
      <c r="AI155" s="10">
        <f t="shared" si="5"/>
        <v>17978.86</v>
      </c>
    </row>
    <row r="156" spans="1:35" x14ac:dyDescent="0.35">
      <c r="A156" s="9">
        <v>147</v>
      </c>
      <c r="B156" s="9" t="s">
        <v>377</v>
      </c>
      <c r="C156" s="9" t="s">
        <v>133</v>
      </c>
      <c r="D156" s="9" t="s">
        <v>136</v>
      </c>
      <c r="E156" s="9" t="s">
        <v>213</v>
      </c>
      <c r="F156" s="9" t="s">
        <v>378</v>
      </c>
      <c r="G156" s="9" t="s">
        <v>41</v>
      </c>
      <c r="H156" s="10">
        <v>39869.31</v>
      </c>
      <c r="I156" s="10">
        <v>0</v>
      </c>
      <c r="J156" s="10">
        <v>0</v>
      </c>
      <c r="K156" s="10">
        <v>0</v>
      </c>
      <c r="L156" s="10">
        <v>0</v>
      </c>
      <c r="M156" s="10">
        <v>0</v>
      </c>
      <c r="N156" s="10">
        <v>0</v>
      </c>
      <c r="O156" s="10">
        <v>605.58000000000004</v>
      </c>
      <c r="P156" s="10">
        <v>0</v>
      </c>
      <c r="Q156" s="10">
        <v>605.24</v>
      </c>
      <c r="R156" s="10">
        <v>0</v>
      </c>
      <c r="S156" s="10">
        <v>833.86</v>
      </c>
      <c r="T156" s="10">
        <v>0</v>
      </c>
      <c r="U156" s="10">
        <v>0</v>
      </c>
      <c r="V156" s="10">
        <v>0</v>
      </c>
      <c r="W156" s="10">
        <v>420.25</v>
      </c>
      <c r="X156" s="10">
        <v>0</v>
      </c>
      <c r="Y156" s="10">
        <v>253.48</v>
      </c>
      <c r="Z156" s="10">
        <v>0</v>
      </c>
      <c r="AA156" s="10">
        <v>0</v>
      </c>
      <c r="AB156" s="10">
        <v>0</v>
      </c>
      <c r="AC156" s="10">
        <v>623.14</v>
      </c>
      <c r="AD156" s="10">
        <v>618.76</v>
      </c>
      <c r="AE156" s="10">
        <v>647.67999999999995</v>
      </c>
      <c r="AF156" s="10">
        <v>591.69000000000005</v>
      </c>
      <c r="AG156" s="10">
        <v>618.03</v>
      </c>
      <c r="AH156" s="10">
        <f t="shared" si="4"/>
        <v>5817.71</v>
      </c>
      <c r="AI156" s="10">
        <f t="shared" si="5"/>
        <v>34051.599999999999</v>
      </c>
    </row>
    <row r="157" spans="1:35" x14ac:dyDescent="0.35">
      <c r="A157" s="9">
        <v>148</v>
      </c>
      <c r="B157" s="9" t="s">
        <v>379</v>
      </c>
      <c r="C157" s="9" t="s">
        <v>133</v>
      </c>
      <c r="D157" s="9" t="s">
        <v>136</v>
      </c>
      <c r="E157" s="9" t="s">
        <v>213</v>
      </c>
      <c r="F157" s="9" t="s">
        <v>380</v>
      </c>
      <c r="G157" s="9" t="s">
        <v>41</v>
      </c>
      <c r="H157" s="10">
        <v>69097.58</v>
      </c>
      <c r="I157" s="10">
        <v>0</v>
      </c>
      <c r="J157" s="10">
        <v>0</v>
      </c>
      <c r="K157" s="10">
        <v>4432.9399999999996</v>
      </c>
      <c r="L157" s="10">
        <v>4784.6499999999996</v>
      </c>
      <c r="M157" s="10">
        <v>1466.68</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f t="shared" si="4"/>
        <v>10684.27</v>
      </c>
      <c r="AI157" s="10">
        <f t="shared" si="5"/>
        <v>58413.31</v>
      </c>
    </row>
    <row r="158" spans="1:35" x14ac:dyDescent="0.35">
      <c r="A158" s="9">
        <v>149</v>
      </c>
      <c r="B158" s="9" t="s">
        <v>381</v>
      </c>
      <c r="C158" s="9" t="s">
        <v>123</v>
      </c>
      <c r="D158" s="9" t="s">
        <v>124</v>
      </c>
      <c r="E158" s="9" t="s">
        <v>93</v>
      </c>
      <c r="F158" s="9" t="s">
        <v>382</v>
      </c>
      <c r="G158" s="9" t="s">
        <v>41</v>
      </c>
      <c r="H158" s="10">
        <v>0</v>
      </c>
      <c r="I158" s="10">
        <v>0</v>
      </c>
      <c r="J158" s="10">
        <v>0</v>
      </c>
      <c r="K158" s="10">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f t="shared" si="4"/>
        <v>0</v>
      </c>
      <c r="AI158" s="10">
        <f t="shared" si="5"/>
        <v>0</v>
      </c>
    </row>
    <row r="159" spans="1:35" x14ac:dyDescent="0.35">
      <c r="A159" s="9">
        <v>150</v>
      </c>
      <c r="B159" s="9" t="s">
        <v>383</v>
      </c>
      <c r="C159" s="9" t="s">
        <v>37</v>
      </c>
      <c r="D159" s="9" t="s">
        <v>38</v>
      </c>
      <c r="E159" s="9" t="s">
        <v>98</v>
      </c>
      <c r="F159" s="9" t="s">
        <v>384</v>
      </c>
      <c r="G159" s="9" t="s">
        <v>41</v>
      </c>
      <c r="H159" s="10">
        <v>0</v>
      </c>
      <c r="I159" s="10">
        <v>0</v>
      </c>
      <c r="J159" s="10">
        <v>0</v>
      </c>
      <c r="K159" s="10">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f t="shared" si="4"/>
        <v>0</v>
      </c>
      <c r="AI159" s="10">
        <f t="shared" si="5"/>
        <v>0</v>
      </c>
    </row>
    <row r="160" spans="1:35" x14ac:dyDescent="0.35">
      <c r="A160" s="9">
        <v>151</v>
      </c>
      <c r="B160" s="9" t="s">
        <v>385</v>
      </c>
      <c r="C160" s="9" t="s">
        <v>37</v>
      </c>
      <c r="D160" s="9" t="s">
        <v>38</v>
      </c>
      <c r="E160" s="9" t="s">
        <v>98</v>
      </c>
      <c r="F160" s="9" t="s">
        <v>386</v>
      </c>
      <c r="G160" s="9" t="s">
        <v>50</v>
      </c>
      <c r="H160" s="10">
        <v>0</v>
      </c>
      <c r="I160" s="10">
        <v>0</v>
      </c>
      <c r="J160" s="10">
        <v>0</v>
      </c>
      <c r="K160" s="10">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f t="shared" si="4"/>
        <v>0</v>
      </c>
      <c r="AI160" s="10">
        <f t="shared" si="5"/>
        <v>0</v>
      </c>
    </row>
    <row r="161" spans="1:35" x14ac:dyDescent="0.35">
      <c r="A161" s="9">
        <v>152</v>
      </c>
      <c r="B161" s="9" t="s">
        <v>387</v>
      </c>
      <c r="C161" s="9" t="s">
        <v>37</v>
      </c>
      <c r="D161" s="9" t="s">
        <v>38</v>
      </c>
      <c r="E161" s="9" t="s">
        <v>98</v>
      </c>
      <c r="F161" s="9" t="s">
        <v>388</v>
      </c>
      <c r="G161" s="9" t="s">
        <v>67</v>
      </c>
      <c r="H161" s="10">
        <v>3226.26</v>
      </c>
      <c r="I161" s="10">
        <v>0</v>
      </c>
      <c r="J161" s="10">
        <v>0</v>
      </c>
      <c r="K161" s="10">
        <v>0</v>
      </c>
      <c r="L161" s="10">
        <v>0</v>
      </c>
      <c r="M161" s="10">
        <v>0</v>
      </c>
      <c r="N161" s="10">
        <v>0</v>
      </c>
      <c r="O161" s="10">
        <v>0</v>
      </c>
      <c r="P161" s="10">
        <v>148.69</v>
      </c>
      <c r="Q161" s="10">
        <v>0</v>
      </c>
      <c r="R161" s="10">
        <v>0</v>
      </c>
      <c r="S161" s="10">
        <v>132.72</v>
      </c>
      <c r="T161" s="10">
        <v>0</v>
      </c>
      <c r="U161" s="10">
        <v>0</v>
      </c>
      <c r="V161" s="10">
        <v>0</v>
      </c>
      <c r="W161" s="10">
        <v>127.49</v>
      </c>
      <c r="X161" s="10">
        <v>0</v>
      </c>
      <c r="Y161" s="10">
        <v>148.06</v>
      </c>
      <c r="Z161" s="10">
        <v>143.44</v>
      </c>
      <c r="AA161" s="10">
        <v>0</v>
      </c>
      <c r="AB161" s="10">
        <v>147.32</v>
      </c>
      <c r="AC161" s="10">
        <v>0</v>
      </c>
      <c r="AD161" s="10">
        <v>139.06</v>
      </c>
      <c r="AE161" s="10">
        <v>123.75</v>
      </c>
      <c r="AF161" s="10">
        <v>0</v>
      </c>
      <c r="AG161" s="10">
        <v>148.93</v>
      </c>
      <c r="AH161" s="10">
        <f t="shared" si="4"/>
        <v>1259.46</v>
      </c>
      <c r="AI161" s="10">
        <f t="shared" si="5"/>
        <v>1966.8000000000002</v>
      </c>
    </row>
    <row r="162" spans="1:35" x14ac:dyDescent="0.35">
      <c r="A162" s="9">
        <v>153</v>
      </c>
      <c r="B162" s="9" t="s">
        <v>389</v>
      </c>
      <c r="C162" s="9" t="s">
        <v>37</v>
      </c>
      <c r="D162" s="9" t="s">
        <v>38</v>
      </c>
      <c r="E162" s="9" t="s">
        <v>98</v>
      </c>
      <c r="F162" s="9" t="s">
        <v>390</v>
      </c>
      <c r="G162" s="9" t="s">
        <v>83</v>
      </c>
      <c r="H162" s="10">
        <v>7259.08</v>
      </c>
      <c r="I162" s="10">
        <v>0</v>
      </c>
      <c r="J162" s="10">
        <v>0</v>
      </c>
      <c r="K162" s="10">
        <v>1107.1199999999999</v>
      </c>
      <c r="L162" s="10">
        <v>1019.7</v>
      </c>
      <c r="M162" s="10">
        <v>1457.26</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f t="shared" si="4"/>
        <v>3584.08</v>
      </c>
      <c r="AI162" s="10">
        <f t="shared" si="5"/>
        <v>3675</v>
      </c>
    </row>
    <row r="163" spans="1:35" x14ac:dyDescent="0.35">
      <c r="A163" s="9">
        <v>154</v>
      </c>
      <c r="B163" s="9" t="s">
        <v>391</v>
      </c>
      <c r="C163" s="9" t="s">
        <v>113</v>
      </c>
      <c r="D163" s="9" t="s">
        <v>114</v>
      </c>
      <c r="E163" s="9" t="s">
        <v>110</v>
      </c>
      <c r="F163" s="9" t="s">
        <v>392</v>
      </c>
      <c r="G163" s="9" t="s">
        <v>83</v>
      </c>
      <c r="H163" s="10">
        <v>15600.08</v>
      </c>
      <c r="I163" s="10">
        <v>0</v>
      </c>
      <c r="J163" s="10">
        <v>0</v>
      </c>
      <c r="K163" s="10">
        <v>850.75</v>
      </c>
      <c r="L163" s="10">
        <v>499.21</v>
      </c>
      <c r="M163" s="10">
        <v>1641.15</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f t="shared" si="4"/>
        <v>2991.11</v>
      </c>
      <c r="AI163" s="10">
        <f t="shared" si="5"/>
        <v>12608.97</v>
      </c>
    </row>
    <row r="164" spans="1:35" x14ac:dyDescent="0.35">
      <c r="A164" s="9">
        <v>155</v>
      </c>
      <c r="B164" s="9" t="s">
        <v>393</v>
      </c>
      <c r="C164" s="9" t="s">
        <v>113</v>
      </c>
      <c r="D164" s="9" t="s">
        <v>114</v>
      </c>
      <c r="E164" s="9" t="s">
        <v>186</v>
      </c>
      <c r="F164" s="9" t="s">
        <v>394</v>
      </c>
      <c r="G164" s="9" t="s">
        <v>83</v>
      </c>
      <c r="H164" s="10">
        <v>73615.16</v>
      </c>
      <c r="I164" s="10">
        <v>0</v>
      </c>
      <c r="J164" s="10">
        <v>0</v>
      </c>
      <c r="K164" s="10">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f t="shared" si="4"/>
        <v>0</v>
      </c>
      <c r="AI164" s="10">
        <f t="shared" si="5"/>
        <v>73615.16</v>
      </c>
    </row>
    <row r="165" spans="1:35" x14ac:dyDescent="0.35">
      <c r="A165" s="9">
        <v>156</v>
      </c>
      <c r="B165" s="9" t="s">
        <v>395</v>
      </c>
      <c r="C165" s="9" t="s">
        <v>113</v>
      </c>
      <c r="D165" s="9" t="s">
        <v>114</v>
      </c>
      <c r="E165" s="9" t="s">
        <v>186</v>
      </c>
      <c r="F165" s="9" t="s">
        <v>396</v>
      </c>
      <c r="G165" s="9" t="s">
        <v>67</v>
      </c>
      <c r="H165" s="10">
        <v>6805.8</v>
      </c>
      <c r="I165" s="10">
        <v>0</v>
      </c>
      <c r="J165" s="10">
        <v>0</v>
      </c>
      <c r="K165" s="10">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f t="shared" si="4"/>
        <v>0</v>
      </c>
      <c r="AI165" s="10">
        <f t="shared" si="5"/>
        <v>6805.8</v>
      </c>
    </row>
    <row r="166" spans="1:35" x14ac:dyDescent="0.35">
      <c r="A166" s="9">
        <v>157</v>
      </c>
      <c r="B166" s="9" t="s">
        <v>397</v>
      </c>
      <c r="C166" s="9" t="s">
        <v>113</v>
      </c>
      <c r="D166" s="9" t="s">
        <v>114</v>
      </c>
      <c r="E166" s="9" t="s">
        <v>110</v>
      </c>
      <c r="F166" s="9" t="s">
        <v>398</v>
      </c>
      <c r="G166" s="9" t="s">
        <v>41</v>
      </c>
      <c r="H166" s="10">
        <v>0</v>
      </c>
      <c r="I166" s="10">
        <v>0</v>
      </c>
      <c r="J166" s="10">
        <v>0</v>
      </c>
      <c r="K166" s="10">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f t="shared" si="4"/>
        <v>0</v>
      </c>
      <c r="AI166" s="10">
        <f t="shared" si="5"/>
        <v>0</v>
      </c>
    </row>
    <row r="167" spans="1:35" x14ac:dyDescent="0.35">
      <c r="A167" s="9">
        <v>158</v>
      </c>
      <c r="B167" s="9" t="s">
        <v>399</v>
      </c>
      <c r="C167" s="9" t="s">
        <v>113</v>
      </c>
      <c r="D167" s="9" t="s">
        <v>114</v>
      </c>
      <c r="E167" s="9" t="s">
        <v>110</v>
      </c>
      <c r="F167" s="9" t="s">
        <v>400</v>
      </c>
      <c r="G167" s="9" t="s">
        <v>67</v>
      </c>
      <c r="H167" s="10">
        <v>0</v>
      </c>
      <c r="I167" s="10">
        <v>0</v>
      </c>
      <c r="J167" s="10">
        <v>0</v>
      </c>
      <c r="K167" s="10">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f t="shared" si="4"/>
        <v>0</v>
      </c>
      <c r="AI167" s="10">
        <f t="shared" si="5"/>
        <v>0</v>
      </c>
    </row>
    <row r="168" spans="1:35" x14ac:dyDescent="0.35">
      <c r="A168" s="9">
        <v>159</v>
      </c>
      <c r="B168" s="9" t="s">
        <v>401</v>
      </c>
      <c r="C168" s="9" t="s">
        <v>113</v>
      </c>
      <c r="D168" s="9" t="s">
        <v>114</v>
      </c>
      <c r="E168" s="9" t="s">
        <v>110</v>
      </c>
      <c r="F168" s="9" t="s">
        <v>402</v>
      </c>
      <c r="G168" s="9" t="s">
        <v>41</v>
      </c>
      <c r="H168" s="10">
        <v>0</v>
      </c>
      <c r="I168" s="10">
        <v>0</v>
      </c>
      <c r="J168" s="10">
        <v>0</v>
      </c>
      <c r="K168" s="10">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f t="shared" si="4"/>
        <v>0</v>
      </c>
      <c r="AI168" s="10">
        <f t="shared" si="5"/>
        <v>0</v>
      </c>
    </row>
    <row r="169" spans="1:35" x14ac:dyDescent="0.35">
      <c r="A169" s="9">
        <v>160</v>
      </c>
      <c r="B169" s="9" t="s">
        <v>403</v>
      </c>
      <c r="C169" s="9" t="s">
        <v>37</v>
      </c>
      <c r="D169" s="9" t="s">
        <v>38</v>
      </c>
      <c r="E169" s="9" t="s">
        <v>93</v>
      </c>
      <c r="F169" s="9" t="s">
        <v>404</v>
      </c>
      <c r="G169" s="9" t="s">
        <v>41</v>
      </c>
      <c r="H169" s="10">
        <v>6452.52</v>
      </c>
      <c r="I169" s="10">
        <v>2138.12</v>
      </c>
      <c r="J169" s="10">
        <v>0</v>
      </c>
      <c r="K169" s="10">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f t="shared" si="4"/>
        <v>2138.12</v>
      </c>
      <c r="AI169" s="10">
        <f t="shared" si="5"/>
        <v>4314.4000000000005</v>
      </c>
    </row>
    <row r="170" spans="1:35" x14ac:dyDescent="0.35">
      <c r="A170" s="9">
        <v>161</v>
      </c>
      <c r="B170" s="9" t="s">
        <v>405</v>
      </c>
      <c r="C170" s="9" t="s">
        <v>113</v>
      </c>
      <c r="D170" s="9" t="s">
        <v>114</v>
      </c>
      <c r="E170" s="9" t="s">
        <v>110</v>
      </c>
      <c r="F170" s="9" t="s">
        <v>406</v>
      </c>
      <c r="G170" s="9" t="s">
        <v>41</v>
      </c>
      <c r="H170" s="10">
        <v>19921.509999999998</v>
      </c>
      <c r="I170" s="10">
        <v>0</v>
      </c>
      <c r="J170" s="10">
        <v>0</v>
      </c>
      <c r="K170" s="10">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f t="shared" si="4"/>
        <v>0</v>
      </c>
      <c r="AI170" s="10">
        <f t="shared" si="5"/>
        <v>19921.509999999998</v>
      </c>
    </row>
    <row r="171" spans="1:35" x14ac:dyDescent="0.35">
      <c r="A171" s="9">
        <v>162</v>
      </c>
      <c r="B171" s="9" t="s">
        <v>407</v>
      </c>
      <c r="C171" s="9" t="s">
        <v>133</v>
      </c>
      <c r="D171" s="9" t="s">
        <v>136</v>
      </c>
      <c r="E171" s="9" t="s">
        <v>118</v>
      </c>
      <c r="F171" s="9" t="s">
        <v>408</v>
      </c>
      <c r="G171" s="9" t="s">
        <v>41</v>
      </c>
      <c r="H171" s="10">
        <v>0</v>
      </c>
      <c r="I171" s="10">
        <v>0</v>
      </c>
      <c r="J171" s="10">
        <v>0</v>
      </c>
      <c r="K171" s="10">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f t="shared" si="4"/>
        <v>0</v>
      </c>
      <c r="AI171" s="10">
        <f t="shared" si="5"/>
        <v>0</v>
      </c>
    </row>
    <row r="172" spans="1:35" x14ac:dyDescent="0.35">
      <c r="A172" s="9">
        <v>163</v>
      </c>
      <c r="B172" s="9" t="s">
        <v>409</v>
      </c>
      <c r="C172" s="9" t="s">
        <v>113</v>
      </c>
      <c r="D172" s="9" t="s">
        <v>114</v>
      </c>
      <c r="E172" s="9" t="s">
        <v>110</v>
      </c>
      <c r="F172" s="9" t="s">
        <v>410</v>
      </c>
      <c r="G172" s="9" t="s">
        <v>41</v>
      </c>
      <c r="H172" s="10">
        <v>0</v>
      </c>
      <c r="I172" s="10">
        <v>0</v>
      </c>
      <c r="J172" s="10">
        <v>0</v>
      </c>
      <c r="K172" s="10">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f t="shared" si="4"/>
        <v>0</v>
      </c>
      <c r="AI172" s="10">
        <f t="shared" si="5"/>
        <v>0</v>
      </c>
    </row>
    <row r="173" spans="1:35" x14ac:dyDescent="0.35">
      <c r="A173" s="9">
        <v>164</v>
      </c>
      <c r="B173" s="9" t="s">
        <v>411</v>
      </c>
      <c r="C173" s="9" t="s">
        <v>139</v>
      </c>
      <c r="D173" s="9" t="s">
        <v>140</v>
      </c>
      <c r="E173" s="9" t="s">
        <v>110</v>
      </c>
      <c r="F173" s="9" t="s">
        <v>412</v>
      </c>
      <c r="G173" s="9" t="s">
        <v>41</v>
      </c>
      <c r="H173" s="10">
        <v>0</v>
      </c>
      <c r="I173" s="10">
        <v>10912.61</v>
      </c>
      <c r="J173" s="10">
        <v>0</v>
      </c>
      <c r="K173" s="10">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f t="shared" si="4"/>
        <v>10912.61</v>
      </c>
      <c r="AI173" s="10">
        <f t="shared" si="5"/>
        <v>-10912.61</v>
      </c>
    </row>
    <row r="174" spans="1:35" x14ac:dyDescent="0.35">
      <c r="A174" s="9">
        <v>164</v>
      </c>
      <c r="B174" s="9" t="s">
        <v>413</v>
      </c>
      <c r="C174" s="9" t="s">
        <v>139</v>
      </c>
      <c r="D174" s="9" t="s">
        <v>140</v>
      </c>
      <c r="E174" s="9" t="s">
        <v>414</v>
      </c>
      <c r="F174" s="9" t="s">
        <v>412</v>
      </c>
      <c r="G174" s="9" t="s">
        <v>41</v>
      </c>
      <c r="H174" s="10">
        <v>0</v>
      </c>
      <c r="I174" s="10">
        <v>0</v>
      </c>
      <c r="J174" s="10">
        <v>0</v>
      </c>
      <c r="K174" s="10">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f t="shared" si="4"/>
        <v>0</v>
      </c>
      <c r="AI174" s="10">
        <f t="shared" si="5"/>
        <v>0</v>
      </c>
    </row>
    <row r="175" spans="1:35" x14ac:dyDescent="0.35">
      <c r="A175" s="9">
        <v>165</v>
      </c>
      <c r="B175" s="9" t="s">
        <v>415</v>
      </c>
      <c r="C175" s="9" t="s">
        <v>113</v>
      </c>
      <c r="D175" s="9" t="s">
        <v>114</v>
      </c>
      <c r="E175" s="9" t="s">
        <v>110</v>
      </c>
      <c r="F175" s="9" t="s">
        <v>416</v>
      </c>
      <c r="G175" s="9" t="s">
        <v>67</v>
      </c>
      <c r="H175" s="10">
        <v>0</v>
      </c>
      <c r="I175" s="10">
        <v>0</v>
      </c>
      <c r="J175" s="10">
        <v>0</v>
      </c>
      <c r="K175" s="10">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f t="shared" si="4"/>
        <v>0</v>
      </c>
      <c r="AI175" s="10">
        <f t="shared" si="5"/>
        <v>0</v>
      </c>
    </row>
    <row r="176" spans="1:35" x14ac:dyDescent="0.35">
      <c r="A176" s="9">
        <v>166</v>
      </c>
      <c r="B176" s="9" t="s">
        <v>417</v>
      </c>
      <c r="C176" s="9" t="s">
        <v>113</v>
      </c>
      <c r="D176" s="9" t="s">
        <v>114</v>
      </c>
      <c r="E176" s="9" t="s">
        <v>110</v>
      </c>
      <c r="F176" s="9" t="s">
        <v>418</v>
      </c>
      <c r="G176" s="9" t="s">
        <v>41</v>
      </c>
      <c r="H176" s="10">
        <v>0</v>
      </c>
      <c r="I176" s="10">
        <v>0</v>
      </c>
      <c r="J176" s="10">
        <v>0</v>
      </c>
      <c r="K176" s="10">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f t="shared" si="4"/>
        <v>0</v>
      </c>
      <c r="AI176" s="10">
        <f t="shared" si="5"/>
        <v>0</v>
      </c>
    </row>
    <row r="177" spans="1:35" x14ac:dyDescent="0.35">
      <c r="A177" s="9">
        <v>167</v>
      </c>
      <c r="B177" s="9" t="s">
        <v>419</v>
      </c>
      <c r="C177" s="9" t="s">
        <v>113</v>
      </c>
      <c r="D177" s="9" t="s">
        <v>114</v>
      </c>
      <c r="E177" s="9" t="s">
        <v>93</v>
      </c>
      <c r="F177" s="9" t="s">
        <v>420</v>
      </c>
      <c r="G177" s="9" t="s">
        <v>41</v>
      </c>
      <c r="H177" s="10">
        <v>0</v>
      </c>
      <c r="I177" s="10">
        <v>0</v>
      </c>
      <c r="J177" s="10">
        <v>0</v>
      </c>
      <c r="K177" s="10">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f t="shared" si="4"/>
        <v>0</v>
      </c>
      <c r="AI177" s="10">
        <f t="shared" si="5"/>
        <v>0</v>
      </c>
    </row>
    <row r="178" spans="1:35" x14ac:dyDescent="0.35">
      <c r="A178" s="9">
        <v>168</v>
      </c>
      <c r="B178" s="9" t="s">
        <v>421</v>
      </c>
      <c r="C178" s="9" t="s">
        <v>113</v>
      </c>
      <c r="D178" s="9" t="s">
        <v>114</v>
      </c>
      <c r="E178" s="9" t="s">
        <v>110</v>
      </c>
      <c r="F178" s="9" t="s">
        <v>422</v>
      </c>
      <c r="G178" s="9" t="s">
        <v>67</v>
      </c>
      <c r="H178" s="10">
        <v>0</v>
      </c>
      <c r="I178" s="10">
        <v>0</v>
      </c>
      <c r="J178" s="10">
        <v>0</v>
      </c>
      <c r="K178" s="10">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f t="shared" si="4"/>
        <v>0</v>
      </c>
      <c r="AI178" s="10">
        <f t="shared" si="5"/>
        <v>0</v>
      </c>
    </row>
    <row r="179" spans="1:35" x14ac:dyDescent="0.35">
      <c r="A179" s="9">
        <v>24118</v>
      </c>
      <c r="B179" s="9" t="s">
        <v>423</v>
      </c>
      <c r="C179" s="9" t="s">
        <v>424</v>
      </c>
      <c r="D179" s="9" t="s">
        <v>425</v>
      </c>
      <c r="E179" s="9" t="s">
        <v>426</v>
      </c>
      <c r="F179" s="9" t="s">
        <v>427</v>
      </c>
      <c r="G179" s="9" t="s">
        <v>41</v>
      </c>
      <c r="H179" s="10">
        <v>0</v>
      </c>
      <c r="I179" s="10">
        <v>0</v>
      </c>
      <c r="J179" s="10">
        <v>0</v>
      </c>
      <c r="K179" s="10">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f t="shared" si="4"/>
        <v>0</v>
      </c>
      <c r="AI179" s="10">
        <f t="shared" si="5"/>
        <v>0</v>
      </c>
    </row>
    <row r="180" spans="1:35" x14ac:dyDescent="0.35">
      <c r="A180" s="9">
        <v>24118</v>
      </c>
      <c r="B180" s="9" t="s">
        <v>428</v>
      </c>
      <c r="C180" s="9" t="s">
        <v>424</v>
      </c>
      <c r="D180" s="9" t="s">
        <v>429</v>
      </c>
      <c r="E180" s="9" t="s">
        <v>430</v>
      </c>
      <c r="F180" s="9" t="s">
        <v>427</v>
      </c>
      <c r="G180" s="9" t="s">
        <v>41</v>
      </c>
      <c r="H180" s="10">
        <v>0</v>
      </c>
      <c r="I180" s="10">
        <v>0</v>
      </c>
      <c r="J180" s="10">
        <v>0</v>
      </c>
      <c r="K180" s="10">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f t="shared" si="4"/>
        <v>0</v>
      </c>
      <c r="AI180" s="10">
        <f t="shared" si="5"/>
        <v>0</v>
      </c>
    </row>
    <row r="181" spans="1:35" x14ac:dyDescent="0.35">
      <c r="A181" s="9">
        <v>24129</v>
      </c>
      <c r="B181" s="9" t="s">
        <v>431</v>
      </c>
      <c r="C181" s="9" t="s">
        <v>424</v>
      </c>
      <c r="D181" s="9" t="s">
        <v>432</v>
      </c>
      <c r="E181" s="9" t="s">
        <v>110</v>
      </c>
      <c r="F181" s="9" t="s">
        <v>433</v>
      </c>
      <c r="G181" s="9" t="s">
        <v>41</v>
      </c>
      <c r="H181" s="10">
        <v>0</v>
      </c>
      <c r="I181" s="10">
        <v>0</v>
      </c>
      <c r="J181" s="10">
        <v>0</v>
      </c>
      <c r="K181" s="10">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f t="shared" si="4"/>
        <v>0</v>
      </c>
      <c r="AI181" s="10">
        <f t="shared" si="5"/>
        <v>0</v>
      </c>
    </row>
    <row r="182" spans="1:35" x14ac:dyDescent="0.35">
      <c r="A182" s="9">
        <v>24129</v>
      </c>
      <c r="B182" s="9" t="s">
        <v>434</v>
      </c>
      <c r="C182" s="9" t="s">
        <v>424</v>
      </c>
      <c r="D182" s="9" t="s">
        <v>429</v>
      </c>
      <c r="E182" s="9" t="s">
        <v>110</v>
      </c>
      <c r="F182" s="9" t="s">
        <v>433</v>
      </c>
      <c r="G182" s="9" t="s">
        <v>41</v>
      </c>
      <c r="H182" s="10">
        <v>0</v>
      </c>
      <c r="I182" s="10">
        <v>0</v>
      </c>
      <c r="J182" s="10">
        <v>0</v>
      </c>
      <c r="K182" s="10">
        <v>0</v>
      </c>
      <c r="L182" s="10">
        <v>0</v>
      </c>
      <c r="M182" s="10">
        <v>0</v>
      </c>
      <c r="N182" s="10">
        <v>0</v>
      </c>
      <c r="O182" s="10">
        <v>0</v>
      </c>
      <c r="P182" s="10">
        <v>0</v>
      </c>
      <c r="Q182" s="10">
        <v>0</v>
      </c>
      <c r="R182" s="10">
        <v>0</v>
      </c>
      <c r="S182" s="10">
        <v>0</v>
      </c>
      <c r="T182" s="10">
        <v>0</v>
      </c>
      <c r="U182" s="10">
        <v>0</v>
      </c>
      <c r="V182" s="10">
        <v>0</v>
      </c>
      <c r="W182" s="10">
        <v>0</v>
      </c>
      <c r="X182" s="10">
        <v>0</v>
      </c>
      <c r="Y182" s="10">
        <v>0</v>
      </c>
      <c r="Z182" s="10">
        <v>0</v>
      </c>
      <c r="AA182" s="10">
        <v>0</v>
      </c>
      <c r="AB182" s="10">
        <v>0</v>
      </c>
      <c r="AC182" s="10">
        <v>0</v>
      </c>
      <c r="AD182" s="10">
        <v>0</v>
      </c>
      <c r="AE182" s="10">
        <v>0</v>
      </c>
      <c r="AF182" s="10">
        <v>0</v>
      </c>
      <c r="AG182" s="10">
        <v>0</v>
      </c>
      <c r="AH182" s="10">
        <f t="shared" si="4"/>
        <v>0</v>
      </c>
      <c r="AI182" s="10">
        <f t="shared" si="5"/>
        <v>0</v>
      </c>
    </row>
    <row r="183" spans="1:35" x14ac:dyDescent="0.35">
      <c r="A183" s="9">
        <v>24130</v>
      </c>
      <c r="B183" s="9" t="s">
        <v>435</v>
      </c>
      <c r="C183" s="9" t="s">
        <v>424</v>
      </c>
      <c r="D183" s="9" t="s">
        <v>436</v>
      </c>
      <c r="E183" s="9" t="s">
        <v>110</v>
      </c>
      <c r="F183" s="9" t="s">
        <v>437</v>
      </c>
      <c r="G183" s="9" t="s">
        <v>41</v>
      </c>
      <c r="H183" s="10">
        <v>0</v>
      </c>
      <c r="I183" s="10">
        <v>0</v>
      </c>
      <c r="J183" s="10">
        <v>0</v>
      </c>
      <c r="K183" s="10">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f t="shared" si="4"/>
        <v>0</v>
      </c>
      <c r="AI183" s="10">
        <f t="shared" si="5"/>
        <v>0</v>
      </c>
    </row>
    <row r="184" spans="1:35" x14ac:dyDescent="0.35">
      <c r="A184" s="9">
        <v>24133</v>
      </c>
      <c r="B184" s="9" t="s">
        <v>438</v>
      </c>
      <c r="C184" s="9" t="s">
        <v>424</v>
      </c>
      <c r="D184" s="9" t="s">
        <v>425</v>
      </c>
      <c r="E184" s="9" t="s">
        <v>118</v>
      </c>
      <c r="F184" s="9" t="s">
        <v>439</v>
      </c>
      <c r="G184" s="9" t="s">
        <v>41</v>
      </c>
      <c r="H184" s="10">
        <v>0</v>
      </c>
      <c r="I184" s="10">
        <v>0</v>
      </c>
      <c r="J184" s="10">
        <v>0</v>
      </c>
      <c r="K184" s="10">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f t="shared" si="4"/>
        <v>0</v>
      </c>
      <c r="AI184" s="10">
        <f t="shared" si="5"/>
        <v>0</v>
      </c>
    </row>
    <row r="185" spans="1:35" x14ac:dyDescent="0.35">
      <c r="A185" s="9">
        <v>24133</v>
      </c>
      <c r="B185" s="9" t="s">
        <v>440</v>
      </c>
      <c r="C185" s="9" t="s">
        <v>424</v>
      </c>
      <c r="D185" s="9" t="s">
        <v>429</v>
      </c>
      <c r="E185" s="9" t="s">
        <v>118</v>
      </c>
      <c r="F185" s="9" t="s">
        <v>441</v>
      </c>
      <c r="G185" s="9" t="s">
        <v>41</v>
      </c>
      <c r="H185" s="10">
        <v>0</v>
      </c>
      <c r="I185" s="10">
        <v>0</v>
      </c>
      <c r="J185" s="10">
        <v>0</v>
      </c>
      <c r="K185" s="10">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f t="shared" si="4"/>
        <v>0</v>
      </c>
      <c r="AI185" s="10">
        <f t="shared" si="5"/>
        <v>0</v>
      </c>
    </row>
    <row r="186" spans="1:35" x14ac:dyDescent="0.35">
      <c r="A186" s="9">
        <v>24134</v>
      </c>
      <c r="B186" s="9" t="s">
        <v>442</v>
      </c>
      <c r="C186" s="9" t="s">
        <v>424</v>
      </c>
      <c r="D186" s="9" t="s">
        <v>429</v>
      </c>
      <c r="E186" s="9" t="s">
        <v>118</v>
      </c>
      <c r="F186" s="9" t="s">
        <v>443</v>
      </c>
      <c r="G186" s="9" t="s">
        <v>41</v>
      </c>
      <c r="H186" s="10">
        <v>0</v>
      </c>
      <c r="I186" s="10">
        <v>0</v>
      </c>
      <c r="J186" s="10">
        <v>0</v>
      </c>
      <c r="K186" s="10">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f t="shared" si="4"/>
        <v>0</v>
      </c>
      <c r="AI186" s="10">
        <f t="shared" si="5"/>
        <v>0</v>
      </c>
    </row>
    <row r="187" spans="1:35" x14ac:dyDescent="0.35">
      <c r="A187" s="9">
        <v>24135</v>
      </c>
      <c r="B187" s="9" t="s">
        <v>444</v>
      </c>
      <c r="C187" s="9" t="s">
        <v>424</v>
      </c>
      <c r="D187" s="9" t="s">
        <v>429</v>
      </c>
      <c r="E187" s="9" t="s">
        <v>39</v>
      </c>
      <c r="F187" s="9" t="s">
        <v>445</v>
      </c>
      <c r="G187" s="9" t="s">
        <v>41</v>
      </c>
      <c r="H187" s="10">
        <v>0</v>
      </c>
      <c r="I187" s="10">
        <v>0</v>
      </c>
      <c r="J187" s="10">
        <v>0</v>
      </c>
      <c r="K187" s="10">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f t="shared" si="4"/>
        <v>0</v>
      </c>
      <c r="AI187" s="10">
        <f t="shared" si="5"/>
        <v>0</v>
      </c>
    </row>
    <row r="188" spans="1:35" x14ac:dyDescent="0.35">
      <c r="A188" s="9">
        <v>24136</v>
      </c>
      <c r="B188" s="9" t="s">
        <v>446</v>
      </c>
      <c r="C188" s="9" t="s">
        <v>424</v>
      </c>
      <c r="D188" s="9" t="s">
        <v>429</v>
      </c>
      <c r="E188" s="9" t="s">
        <v>110</v>
      </c>
      <c r="F188" s="9" t="s">
        <v>447</v>
      </c>
      <c r="G188" s="9" t="s">
        <v>41</v>
      </c>
      <c r="H188" s="10">
        <v>0</v>
      </c>
      <c r="I188" s="10">
        <v>0</v>
      </c>
      <c r="J188" s="10">
        <v>0</v>
      </c>
      <c r="K188" s="10">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f t="shared" si="4"/>
        <v>0</v>
      </c>
      <c r="AI188" s="10">
        <f t="shared" si="5"/>
        <v>0</v>
      </c>
    </row>
    <row r="189" spans="1:35" ht="14.5" customHeight="1" x14ac:dyDescent="0.35">
      <c r="A189" s="11" t="s">
        <v>448</v>
      </c>
      <c r="B189" s="12"/>
      <c r="C189" s="12"/>
      <c r="D189" s="12"/>
      <c r="E189" s="12"/>
      <c r="F189" s="12"/>
      <c r="G189" s="13"/>
      <c r="H189" s="14">
        <v>12287378.4</v>
      </c>
      <c r="I189" s="14">
        <v>131820</v>
      </c>
      <c r="J189" s="14">
        <v>0</v>
      </c>
      <c r="K189" s="14">
        <v>297571.71999999997</v>
      </c>
      <c r="L189" s="14">
        <v>366846.58</v>
      </c>
      <c r="M189" s="14">
        <v>354082.44</v>
      </c>
      <c r="N189" s="14">
        <v>36802.050000000003</v>
      </c>
      <c r="O189" s="14">
        <v>18214.080000000002</v>
      </c>
      <c r="P189" s="14">
        <v>21802.97</v>
      </c>
      <c r="Q189" s="14">
        <v>15047.06</v>
      </c>
      <c r="R189" s="14">
        <v>16422.45</v>
      </c>
      <c r="S189" s="14">
        <v>32241.27</v>
      </c>
      <c r="T189" s="14">
        <v>96025.37</v>
      </c>
      <c r="U189" s="14">
        <v>91957.74</v>
      </c>
      <c r="V189" s="14">
        <v>52262.31</v>
      </c>
      <c r="W189" s="14">
        <v>17072.64</v>
      </c>
      <c r="X189" s="14">
        <v>81050.33</v>
      </c>
      <c r="Y189" s="14">
        <v>37923.760000000002</v>
      </c>
      <c r="Z189" s="14">
        <v>14614.7</v>
      </c>
      <c r="AA189" s="14">
        <v>10151.42</v>
      </c>
      <c r="AB189" s="14">
        <v>24082.41</v>
      </c>
      <c r="AC189" s="14">
        <v>20996.77</v>
      </c>
      <c r="AD189" s="14">
        <v>20867.45</v>
      </c>
      <c r="AE189" s="14">
        <v>31834.01</v>
      </c>
      <c r="AF189" s="14">
        <v>23013.61</v>
      </c>
      <c r="AG189" s="14">
        <v>20996.73</v>
      </c>
      <c r="AH189" s="14">
        <f>SUM(AH10:AH188)</f>
        <v>1833699.8599999999</v>
      </c>
      <c r="AI189" s="14">
        <v>10453678.529999999</v>
      </c>
    </row>
  </sheetData>
  <mergeCells count="1">
    <mergeCell ref="A189:G1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 Analisa Varians 010126-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Spiritia 2024</dc:creator>
  <cp:lastModifiedBy>Spiritia 2024</cp:lastModifiedBy>
  <dcterms:created xsi:type="dcterms:W3CDTF">2026-03-18T04:51:27Z</dcterms:created>
  <dcterms:modified xsi:type="dcterms:W3CDTF">2026-03-18T04:51:36Z</dcterms:modified>
</cp:coreProperties>
</file>